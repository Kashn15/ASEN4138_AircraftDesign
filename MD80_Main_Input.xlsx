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williamlampe/Downloads/"/>
    </mc:Choice>
  </mc:AlternateContent>
  <xr:revisionPtr revIDLastSave="0" documentId="8_{581E3936-8159-124F-8C72-7B12357FAC67}" xr6:coauthVersionLast="47" xr6:coauthVersionMax="47" xr10:uidLastSave="{00000000-0000-0000-0000-000000000000}"/>
  <bookViews>
    <workbookView xWindow="0" yWindow="660" windowWidth="14500" windowHeight="18980" activeTab="2"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8" i="5" l="1"/>
  <c r="U8" i="4"/>
  <c r="Z8" i="4"/>
  <c r="Y8" i="4"/>
  <c r="W8" i="4"/>
  <c r="P8" i="4"/>
  <c r="V8" i="4"/>
  <c r="K8" i="4"/>
  <c r="I8" i="4"/>
  <c r="H8" i="4"/>
  <c r="H2" i="4"/>
  <c r="H3" i="4"/>
  <c r="H4" i="4"/>
  <c r="I4" i="4"/>
  <c r="O4" i="4"/>
  <c r="U4" i="4"/>
  <c r="W4" i="4" s="1"/>
  <c r="AJ4" i="4"/>
  <c r="H5" i="4"/>
  <c r="O5" i="4"/>
  <c r="V5" i="4"/>
  <c r="AJ5" i="4"/>
  <c r="H6" i="4"/>
  <c r="H7" i="4"/>
  <c r="I7" i="4"/>
  <c r="K7" i="4"/>
  <c r="W7" i="5"/>
  <c r="G7" i="5"/>
  <c r="F7" i="5"/>
  <c r="E7" i="5"/>
  <c r="A7" i="5"/>
  <c r="W6" i="5"/>
  <c r="G6" i="5"/>
  <c r="F6" i="5"/>
  <c r="E6" i="5"/>
  <c r="A6" i="5"/>
  <c r="B72" i="15" a="1"/>
  <c r="B72" i="15" s="1"/>
  <c r="B2" i="15" a="1"/>
  <c r="B2" i="15" s="1"/>
  <c r="A4" i="13" l="1"/>
  <c r="A5" i="13"/>
  <c r="A3" i="5"/>
  <c r="A4" i="5"/>
  <c r="A5" i="5"/>
  <c r="A3" i="13" l="1"/>
  <c r="W3" i="5"/>
  <c r="G3" i="5"/>
  <c r="F3" i="5"/>
  <c r="E3" i="5"/>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<sst xmlns="http://schemas.openxmlformats.org/spreadsheetml/2006/main" count="451" uniqueCount="248">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</sst>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44" zoomScale="125" workbookViewId="0">
      <selection activeCell="D74" sqref="D74"/>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207</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219</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4"/>
      <c r="B50" s="24"/>
      <c r="C50" s="25"/>
      <c r="D50" s="26"/>
    </row>
    <row r="51" spans="1:4" ht="16" x14ac:dyDescent="0.2">
      <c r="A51" s="3" t="s">
        <v>162</v>
      </c>
      <c r="B51" s="3" t="s">
        <v>44</v>
      </c>
      <c r="C51" s="4" t="s">
        <v>58</v>
      </c>
      <c r="D51" s="5" t="s">
        <v>192</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1"/>
      <c r="B71" s="21"/>
      <c r="C71" s="25"/>
      <c r="D71" s="27"/>
    </row>
    <row r="72" spans="1:4" ht="16" x14ac:dyDescent="0.2">
      <c r="A72" s="3" t="s">
        <v>191</v>
      </c>
      <c r="B72" s="3" t="str" cm="1">
        <f t="array" ref="B72:B82">TRANSPOSE([1]Propulsion!A1:K1)</f>
        <v>Config</v>
      </c>
      <c r="C72" s="4" t="s">
        <v>58</v>
      </c>
      <c r="D72" s="5" t="s">
        <v>192</v>
      </c>
    </row>
    <row r="73" spans="1:4" ht="16" x14ac:dyDescent="0.2">
      <c r="A73" s="3" t="s">
        <v>191</v>
      </c>
      <c r="B73" s="3" t="str">
        <v>PropType</v>
      </c>
      <c r="C73" s="4" t="s">
        <v>58</v>
      </c>
      <c r="D73" s="5" t="s">
        <v>193</v>
      </c>
    </row>
    <row r="74" spans="1:4" ht="16" x14ac:dyDescent="0.2">
      <c r="A74" s="3" t="s">
        <v>191</v>
      </c>
      <c r="B74" s="3" t="str">
        <v>Number</v>
      </c>
      <c r="C74" s="4" t="s">
        <v>58</v>
      </c>
      <c r="D74" s="5" t="s">
        <v>198</v>
      </c>
    </row>
    <row r="75" spans="1:4" ht="16" x14ac:dyDescent="0.2">
      <c r="A75" s="3" t="s">
        <v>191</v>
      </c>
      <c r="B75" s="3" t="str">
        <v>TA_mil_sl</v>
      </c>
      <c r="C75" s="4" t="s">
        <v>194</v>
      </c>
      <c r="D75" s="5" t="s">
        <v>199</v>
      </c>
    </row>
    <row r="76" spans="1:4" ht="16" x14ac:dyDescent="0.2">
      <c r="A76" s="3" t="s">
        <v>191</v>
      </c>
      <c r="B76" s="3" t="str">
        <v>TSFC_mil_sl</v>
      </c>
      <c r="C76" s="4" t="s">
        <v>195</v>
      </c>
      <c r="D76" s="5" t="s">
        <v>200</v>
      </c>
    </row>
    <row r="77" spans="1:4" ht="32" x14ac:dyDescent="0.2">
      <c r="A77" s="3" t="s">
        <v>191</v>
      </c>
      <c r="B77" s="3" t="str">
        <v>TA_AB_sl</v>
      </c>
      <c r="C77" s="4" t="s">
        <v>194</v>
      </c>
      <c r="D77" s="5" t="s">
        <v>202</v>
      </c>
    </row>
    <row r="78" spans="1:4" ht="32" x14ac:dyDescent="0.2">
      <c r="A78" s="3" t="s">
        <v>191</v>
      </c>
      <c r="B78" s="3" t="str">
        <v>TSFC_AB_sl</v>
      </c>
      <c r="C78" s="4" t="s">
        <v>195</v>
      </c>
      <c r="D78" s="5" t="s">
        <v>201</v>
      </c>
    </row>
    <row r="79" spans="1:4" ht="16" x14ac:dyDescent="0.2">
      <c r="A79" s="3" t="s">
        <v>191</v>
      </c>
      <c r="B79" s="3" t="str">
        <v>Install_loss</v>
      </c>
      <c r="C79" s="4" t="s">
        <v>58</v>
      </c>
      <c r="D79" s="5" t="s">
        <v>203</v>
      </c>
    </row>
    <row r="80" spans="1:4" ht="16" x14ac:dyDescent="0.2">
      <c r="A80" s="3" t="s">
        <v>191</v>
      </c>
      <c r="B80" s="3" t="str">
        <v>PA_shp_sl</v>
      </c>
      <c r="C80" s="4" t="s">
        <v>196</v>
      </c>
      <c r="D80" s="5" t="s">
        <v>204</v>
      </c>
    </row>
    <row r="81" spans="1:4" ht="16" x14ac:dyDescent="0.2">
      <c r="A81" s="3" t="s">
        <v>191</v>
      </c>
      <c r="B81" s="3" t="str">
        <v>SFC_sl</v>
      </c>
      <c r="C81" s="4" t="s">
        <v>197</v>
      </c>
      <c r="D81" s="5" t="s">
        <v>205</v>
      </c>
    </row>
    <row r="82" spans="1:4" ht="16" x14ac:dyDescent="0.2">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38" workbookViewId="0">
      <selection activeCell="AL9" sqref="AL9"/>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180</v>
      </c>
      <c r="B2" s="4" t="s">
        <v>209</v>
      </c>
      <c r="C2" s="4">
        <v>0</v>
      </c>
      <c r="D2" s="4">
        <v>0.85</v>
      </c>
      <c r="E2" s="4">
        <v>1.6</v>
      </c>
      <c r="F2" s="4">
        <v>46.5</v>
      </c>
      <c r="G2" s="4">
        <v>4.5</v>
      </c>
      <c r="H2" s="4">
        <f t="shared" ref="H2:H8"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x14ac:dyDescent="0.2">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x14ac:dyDescent="0.2">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x14ac:dyDescent="0.2">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x14ac:dyDescent="0.2">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x14ac:dyDescent="0.2">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8" spans="1:48" x14ac:dyDescent="0.2">
      <c r="A8" s="4" t="s">
        <v>245</v>
      </c>
      <c r="B8" s="4" t="s">
        <v>211</v>
      </c>
      <c r="C8" s="4">
        <v>0</v>
      </c>
      <c r="D8" s="4">
        <v>0.76</v>
      </c>
      <c r="E8" s="4">
        <v>0.76</v>
      </c>
      <c r="F8" s="4">
        <v>147.67060000000001</v>
      </c>
      <c r="G8" s="4">
        <v>15</v>
      </c>
      <c r="H8" s="4">
        <f t="shared" si="0"/>
        <v>9.8447066666666672</v>
      </c>
      <c r="I8" s="4">
        <f>0.25*PI()*(G8)^2</f>
        <v>176.71458676442586</v>
      </c>
      <c r="J8" s="4">
        <v>0</v>
      </c>
      <c r="K8" s="4">
        <f>PI()*G8*F8</f>
        <v>6958.8130816679532</v>
      </c>
      <c r="L8" s="4">
        <v>1</v>
      </c>
      <c r="M8" s="4">
        <v>2</v>
      </c>
      <c r="N8" s="4">
        <v>1209</v>
      </c>
      <c r="O8" s="4">
        <v>2500</v>
      </c>
      <c r="P8" s="4">
        <f>(107.67717^2)/N8</f>
        <v>9.5900520588990084</v>
      </c>
      <c r="Q8" s="4">
        <v>0.25</v>
      </c>
      <c r="R8" s="4">
        <v>35</v>
      </c>
      <c r="S8" s="4">
        <v>30</v>
      </c>
      <c r="T8" s="4">
        <v>1.1000000000000001</v>
      </c>
      <c r="U8" s="4">
        <f>0.25*N8</f>
        <v>302.25</v>
      </c>
      <c r="V8" s="4">
        <f>2*U8</f>
        <v>604.5</v>
      </c>
      <c r="W8" s="4">
        <f>((107.67717/3)^2)/U8</f>
        <v>4.2622453595106693</v>
      </c>
      <c r="X8" s="4">
        <v>0.4</v>
      </c>
      <c r="Y8" s="4">
        <f>35</f>
        <v>35</v>
      </c>
      <c r="Z8" s="4">
        <f>(15+(15*0.4))/2</f>
        <v>10.5</v>
      </c>
      <c r="AA8" s="4">
        <v>1.1000000000000001</v>
      </c>
      <c r="AB8" s="4">
        <v>0</v>
      </c>
      <c r="AC8" s="4">
        <v>0</v>
      </c>
      <c r="AD8" s="4">
        <v>0</v>
      </c>
      <c r="AE8" s="4">
        <v>0</v>
      </c>
      <c r="AF8" s="4">
        <v>0</v>
      </c>
      <c r="AG8" s="4">
        <v>0</v>
      </c>
      <c r="AH8" s="4">
        <v>0</v>
      </c>
      <c r="AI8" s="4">
        <v>302.25</v>
      </c>
      <c r="AJ8" s="4">
        <v>604.5</v>
      </c>
      <c r="AK8" s="4">
        <v>4.2622450000000001</v>
      </c>
      <c r="AL8" s="4">
        <v>1</v>
      </c>
      <c r="AM8" s="4">
        <v>35</v>
      </c>
      <c r="AN8" s="4">
        <v>10.5</v>
      </c>
      <c r="AO8" s="4">
        <v>1.1000000000000001</v>
      </c>
      <c r="AP8" s="4">
        <v>0</v>
      </c>
      <c r="AQ8" s="4">
        <v>0</v>
      </c>
      <c r="AR8" s="4">
        <v>0</v>
      </c>
      <c r="AS8" s="4">
        <v>0</v>
      </c>
      <c r="AT8" s="4">
        <v>0</v>
      </c>
      <c r="AU8" s="4">
        <v>0</v>
      </c>
      <c r="AV8" s="4">
        <v>0</v>
      </c>
    </row>
    <row r="21" s="22"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tabSelected="1" zoomScale="133" workbookViewId="0">
      <selection activeCell="AZ14" sqref="AZ14"/>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ht="16" x14ac:dyDescent="0.2">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x14ac:dyDescent="0.2">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ht="16" x14ac:dyDescent="0.2">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ht="16" x14ac:dyDescent="0.2">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ht="16" x14ac:dyDescent="0.2">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8" spans="1:54" x14ac:dyDescent="0.2">
      <c r="A8" s="10" t="s">
        <v>245</v>
      </c>
      <c r="B8" s="10" t="s">
        <v>246</v>
      </c>
      <c r="C8" s="10">
        <v>0.11</v>
      </c>
      <c r="D8" s="10">
        <v>0.36</v>
      </c>
      <c r="E8" s="10">
        <v>-0.36480000000000001</v>
      </c>
      <c r="F8" s="10">
        <v>-0.22969999999999999</v>
      </c>
      <c r="G8" s="10">
        <v>-9.06E-2</v>
      </c>
      <c r="H8" s="10">
        <v>9.1499999999999998E-2</v>
      </c>
      <c r="I8" s="10">
        <v>0.25209999999999999</v>
      </c>
      <c r="J8" s="10">
        <v>0.3926</v>
      </c>
      <c r="K8" s="10">
        <v>0.4924</v>
      </c>
      <c r="L8" s="10">
        <v>0.59919999999999995</v>
      </c>
      <c r="M8" s="10">
        <v>0.70809999999999995</v>
      </c>
      <c r="N8" s="10">
        <v>0.81489999999999996</v>
      </c>
      <c r="O8" s="10">
        <v>0.92130000000000001</v>
      </c>
      <c r="P8" s="10">
        <v>1.0299</v>
      </c>
      <c r="Q8" s="10">
        <v>1.1337999999999999</v>
      </c>
      <c r="R8" s="10">
        <v>1.2350000000000001</v>
      </c>
      <c r="S8" s="10">
        <v>1.3317000000000001</v>
      </c>
      <c r="T8" s="10">
        <v>1.4271</v>
      </c>
      <c r="U8" s="10">
        <v>1.5059</v>
      </c>
      <c r="V8" s="10">
        <v>1.5843</v>
      </c>
      <c r="W8" s="10">
        <v>1.5843</v>
      </c>
      <c r="X8" s="10">
        <v>1.2370000000000001E-2</v>
      </c>
      <c r="Y8" s="10">
        <v>1.1509999999999999E-2</v>
      </c>
      <c r="Z8" s="10">
        <v>1.082E-2</v>
      </c>
      <c r="AA8" s="10">
        <v>9.1400000000000006E-3</v>
      </c>
      <c r="AB8" s="10">
        <v>6.3699999999999998E-3</v>
      </c>
      <c r="AC8" s="10">
        <v>8.1300000000000001E-3</v>
      </c>
      <c r="AD8" s="10">
        <v>1.027E-2</v>
      </c>
      <c r="AE8" s="10">
        <v>1.1220000000000001E-2</v>
      </c>
      <c r="AF8" s="10">
        <v>1.2160000000000001E-2</v>
      </c>
      <c r="AG8" s="10">
        <v>1.312E-2</v>
      </c>
      <c r="AH8" s="10">
        <v>1.4200000000000001E-2</v>
      </c>
      <c r="AI8" s="10">
        <v>1.5100000000000001E-2</v>
      </c>
      <c r="AJ8" s="10">
        <v>1.651E-2</v>
      </c>
      <c r="AK8" s="10">
        <v>1.806E-2</v>
      </c>
      <c r="AL8" s="10">
        <v>1.9970000000000002E-2</v>
      </c>
      <c r="AM8" s="10">
        <v>2.1649999999999999E-2</v>
      </c>
      <c r="AN8" s="10">
        <v>2.487E-2</v>
      </c>
      <c r="AO8" s="10">
        <v>2.726E-2</v>
      </c>
      <c r="AP8" s="10">
        <f>MIN(X8:AO8)</f>
        <v>6.3699999999999998E-3</v>
      </c>
      <c r="AQ8" s="10" t="s">
        <v>247</v>
      </c>
      <c r="AR8" s="10">
        <v>0.04</v>
      </c>
      <c r="AS8" s="10">
        <v>0.3</v>
      </c>
      <c r="AT8" s="10">
        <v>0</v>
      </c>
      <c r="AU8" s="10">
        <v>0</v>
      </c>
      <c r="AV8" s="10">
        <v>0</v>
      </c>
      <c r="AW8" s="10" t="s">
        <v>181</v>
      </c>
      <c r="AX8" s="10">
        <v>0.04</v>
      </c>
      <c r="AY8" s="10">
        <v>0.3</v>
      </c>
      <c r="AZ8" s="10">
        <v>0</v>
      </c>
      <c r="BA8" s="10">
        <v>0</v>
      </c>
      <c r="BB8" s="10">
        <v>0</v>
      </c>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zoomScale="125" workbookViewId="0">
      <selection activeCell="J11" sqref="J11"/>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x14ac:dyDescent="0.2">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x14ac:dyDescent="0.2">
      <c r="A3" t="str">
        <f>Main_Input!A3</f>
        <v>C172</v>
      </c>
      <c r="B3" t="s">
        <v>227</v>
      </c>
      <c r="C3">
        <v>1</v>
      </c>
      <c r="D3">
        <v>0</v>
      </c>
      <c r="E3">
        <v>0</v>
      </c>
      <c r="F3">
        <v>0</v>
      </c>
      <c r="G3">
        <v>0</v>
      </c>
      <c r="H3">
        <v>0</v>
      </c>
      <c r="I3">
        <v>160</v>
      </c>
      <c r="J3">
        <v>0.39</v>
      </c>
      <c r="K3">
        <v>0.8</v>
      </c>
      <c r="L3">
        <v>0</v>
      </c>
      <c r="M3">
        <v>0</v>
      </c>
      <c r="N3">
        <v>0</v>
      </c>
      <c r="O3">
        <v>0</v>
      </c>
      <c r="P3">
        <v>0</v>
      </c>
      <c r="Q3">
        <v>0</v>
      </c>
      <c r="R3">
        <v>0</v>
      </c>
    </row>
    <row r="4" spans="1:18" x14ac:dyDescent="0.2">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x14ac:dyDescent="0.2">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x14ac:dyDescent="0.2">
      <c r="A6" t="s">
        <v>220</v>
      </c>
      <c r="B6" t="s">
        <v>188</v>
      </c>
      <c r="C6">
        <v>1</v>
      </c>
      <c r="D6">
        <v>0</v>
      </c>
      <c r="E6">
        <v>0</v>
      </c>
      <c r="F6">
        <v>0</v>
      </c>
      <c r="G6">
        <v>0</v>
      </c>
      <c r="H6">
        <v>0</v>
      </c>
      <c r="I6">
        <v>160</v>
      </c>
      <c r="J6">
        <v>0.39</v>
      </c>
      <c r="K6">
        <v>0.8</v>
      </c>
      <c r="L6">
        <v>0</v>
      </c>
      <c r="M6">
        <v>275</v>
      </c>
      <c r="N6">
        <v>0.9</v>
      </c>
      <c r="O6">
        <v>0.9</v>
      </c>
      <c r="P6">
        <v>0.9</v>
      </c>
      <c r="Q6">
        <v>200.47499999999999</v>
      </c>
      <c r="R6">
        <v>0.93</v>
      </c>
    </row>
    <row r="7" spans="1:18" x14ac:dyDescent="0.2">
      <c r="A7" t="s">
        <v>243</v>
      </c>
      <c r="B7" t="s">
        <v>242</v>
      </c>
      <c r="C7">
        <v>2</v>
      </c>
      <c r="D7">
        <v>0</v>
      </c>
      <c r="E7">
        <v>0</v>
      </c>
      <c r="F7">
        <v>0</v>
      </c>
      <c r="G7">
        <v>0</v>
      </c>
      <c r="H7">
        <v>0</v>
      </c>
      <c r="I7">
        <v>6150</v>
      </c>
      <c r="J7">
        <v>0.42599999999999999</v>
      </c>
      <c r="K7">
        <v>0.7</v>
      </c>
      <c r="L7">
        <v>38</v>
      </c>
      <c r="M7">
        <v>0</v>
      </c>
      <c r="N7">
        <v>0</v>
      </c>
      <c r="O7">
        <v>0</v>
      </c>
      <c r="P7">
        <v>0</v>
      </c>
      <c r="Q7">
        <v>0</v>
      </c>
      <c r="R7">
        <v>0</v>
      </c>
    </row>
    <row r="21" s="21"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182</v>
      </c>
      <c r="B1" t="s">
        <v>208</v>
      </c>
    </row>
    <row r="2" spans="1:2" x14ac:dyDescent="0.2">
      <c r="A2" t="s">
        <v>187</v>
      </c>
      <c r="B2" t="s">
        <v>209</v>
      </c>
    </row>
    <row r="3" spans="1:2" x14ac:dyDescent="0.2">
      <c r="A3" t="s">
        <v>188</v>
      </c>
      <c r="B3" t="s">
        <v>210</v>
      </c>
    </row>
    <row r="4" spans="1:2" x14ac:dyDescent="0.2">
      <c r="A4" t="s">
        <v>185</v>
      </c>
      <c r="B4" t="s">
        <v>211</v>
      </c>
    </row>
    <row r="5" spans="1:2" x14ac:dyDescent="0.2">
      <c r="A5" t="s">
        <v>186</v>
      </c>
      <c r="B5" t="s">
        <v>212</v>
      </c>
    </row>
    <row r="6" spans="1:2" x14ac:dyDescent="0.2">
      <c r="A6" t="s">
        <v>242</v>
      </c>
      <c r="B6" t="s">
        <v>228</v>
      </c>
    </row>
    <row r="7" spans="1:2" x14ac:dyDescent="0.2">
      <c r="A7" t="s">
        <v>227</v>
      </c>
      <c r="B7" t="s">
        <v>229</v>
      </c>
    </row>
    <row r="8" spans="1:2" x14ac:dyDescent="0.2">
      <c r="B8" s="28" t="s">
        <v>230</v>
      </c>
    </row>
    <row r="9" spans="1:2" x14ac:dyDescent="0.2">
      <c r="B9" t="s">
        <v>231</v>
      </c>
    </row>
    <row r="10" spans="1:2" x14ac:dyDescent="0.2">
      <c r="B10" s="28" t="s">
        <v>232</v>
      </c>
    </row>
    <row r="11" spans="1:2" x14ac:dyDescent="0.2">
      <c r="B11" t="s">
        <v>241</v>
      </c>
    </row>
    <row r="12" spans="1:2" x14ac:dyDescent="0.2">
      <c r="B12" s="28" t="s">
        <v>240</v>
      </c>
    </row>
    <row r="13" spans="1:2" x14ac:dyDescent="0.2">
      <c r="B13" t="s">
        <v>233</v>
      </c>
    </row>
    <row r="14" spans="1:2" x14ac:dyDescent="0.2">
      <c r="B14" t="s">
        <v>234</v>
      </c>
    </row>
    <row r="15" spans="1:2" x14ac:dyDescent="0.2">
      <c r="B15" t="s">
        <v>235</v>
      </c>
    </row>
    <row r="16" spans="1:2" x14ac:dyDescent="0.2">
      <c r="B16" t="s">
        <v>239</v>
      </c>
    </row>
    <row r="17" spans="2:2" x14ac:dyDescent="0.2">
      <c r="B17" t="s">
        <v>236</v>
      </c>
    </row>
    <row r="18" spans="2:2" x14ac:dyDescent="0.2">
      <c r="B18" t="s">
        <v>238</v>
      </c>
    </row>
    <row r="19" spans="2:2" x14ac:dyDescent="0.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William Lampe</cp:lastModifiedBy>
  <dcterms:created xsi:type="dcterms:W3CDTF">2023-12-05T19:03:00Z</dcterms:created>
  <dcterms:modified xsi:type="dcterms:W3CDTF">2026-09-09T21:24:37Z</dcterms:modified>
</cp:coreProperties>
</file>