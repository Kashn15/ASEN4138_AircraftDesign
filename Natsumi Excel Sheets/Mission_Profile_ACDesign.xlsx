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365coloradoedu-my.sharepoint.com/personal/aska7164_colorado_edu/Documents/Desktop/AC Design Code/MAIN/Input Excel Sheets/Mission Profiles/"/>
    </mc:Choice>
  </mc:AlternateContent>
  <xr:revisionPtr revIDLastSave="179" documentId="13_ncr:1_{7F03FA73-868E-FF44-83A6-FB5542F8BA1C}" xr6:coauthVersionLast="47" xr6:coauthVersionMax="47" xr10:uidLastSave="{A8C063F6-B7D0-4B73-BEF3-0C10E36B61C1}"/>
  <bookViews>
    <workbookView xWindow="3804" yWindow="2988" windowWidth="17280" windowHeight="9960" xr2:uid="{AC12A90C-16A5-0547-A6DB-57534C200D25}"/>
  </bookViews>
  <sheets>
    <sheet name="Templates" sheetId="2" r:id="rId1"/>
    <sheet name="MD80 (2)" sheetId="6" r:id="rId2"/>
    <sheet name="Outbound Short (KASE -&gt; KDEN)" sheetId="8" r:id="rId3"/>
    <sheet name="Inbound Short (KDEN -&gt; KASE)" sheetId="9" r:id="rId4"/>
    <sheet name="Outbound Long (KASE -&gt; KORD)" sheetId="10" r:id="rId5"/>
    <sheet name="Inbound Long (KORD -&gt; KASE)" sheetId="11" r:id="rId6"/>
    <sheet name="B717" sheetId="4" r:id="rId7"/>
    <sheet name="B747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1" l="1"/>
  <c r="C9" i="10"/>
  <c r="E9" i="9"/>
  <c r="C9" i="9"/>
  <c r="E9" i="8"/>
  <c r="E13" i="6"/>
  <c r="C13" i="6"/>
  <c r="E9" i="6"/>
  <c r="E11" i="6" s="1"/>
  <c r="C9" i="6"/>
</calcChain>
</file>

<file path=xl/sharedStrings.xml><?xml version="1.0" encoding="utf-8"?>
<sst xmlns="http://schemas.openxmlformats.org/spreadsheetml/2006/main" count="329" uniqueCount="40">
  <si>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</si>
  <si>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</si>
  <si>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</si>
  <si>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</si>
  <si>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</si>
  <si>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</si>
  <si>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</si>
  <si>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</si>
  <si>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</si>
  <si>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</si>
  <si>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</si>
  <si>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</si>
  <si>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</si>
  <si>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</si>
  <si>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</si>
  <si>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</si>
  <si>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</si>
  <si>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</si>
  <si>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</si>
  <si>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</si>
  <si>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</si>
  <si>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</si>
  <si>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</si>
  <si>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</si>
  <si>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</si>
  <si>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</si>
  <si>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</si>
  <si>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</si>
  <si>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</si>
  <si>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</si>
  <si>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</si>
  <si>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</si>
  <si>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</si>
  <si>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</si>
  <si>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</si>
  <si>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VTOL</t>
  </si>
  <si>
    <t>Hover Time [s]</t>
  </si>
  <si>
    <t>Altitude Gain [ft]</t>
  </si>
  <si>
    <t xml:space="preserve">Climb </t>
  </si>
  <si>
    <t xml:space="preserve">Cruise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</si>
</sst>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sz val="12"/>
      <color rgb="FF000000"/>
      <name val="Arial Unicode MS"/>
      <family val="2"/>
    </font>
    <font>
      <sz val="13"/>
      <color rgb="FF212529"/>
      <name val="Arial"/>
      <family val="2"/>
    </font>
    <font>
      <b/>
      <sz val="12"/>
      <color theme="0"/>
      <name val="Arial Unicode MS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 tint="-0.14999847407452621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rgb="FF00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0" xfId="0" applyFont="1"/>
    <xf numFmtId="0" fontId="2" fillId="2" borderId="1" xfId="0" applyFont="1" applyFill="1" applyBorder="1"/>
    <xf numFmtId="0" fontId="4" fillId="0" borderId="0" xfId="0" applyFont="1"/>
    <xf numFmtId="0" fontId="3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5" fillId="3" borderId="9" xfId="0" applyFont="1" applyFill="1" applyBorder="1"/>
    <xf numFmtId="0" fontId="5" fillId="0" borderId="0" xfId="0" applyFont="1"/>
    <xf numFmtId="0" fontId="5" fillId="3" borderId="0" xfId="0" applyFont="1" applyFill="1"/>
    <xf numFmtId="0" fontId="6" fillId="0" borderId="0" xfId="0" applyFont="1"/>
    <xf numFmtId="0" fontId="1" fillId="2" borderId="1" xfId="0" applyFont="1" applyFill="1" applyBorder="1"/>
    <xf numFmtId="0" fontId="2" fillId="4" borderId="1" xfId="0" applyFont="1" applyFill="1" applyBorder="1"/>
    <xf numFmtId="0" fontId="7" fillId="0" borderId="0" xfId="0" applyFont="1"/>
    <xf numFmtId="0" fontId="8" fillId="5" borderId="10" xfId="0" applyFont="1" applyFill="1" applyBorder="1"/>
    <xf numFmtId="0" fontId="5" fillId="3" borderId="11" xfId="0" applyFont="1" applyFill="1" applyBorder="1"/>
    <xf numFmtId="0" fontId="5" fillId="3" borderId="12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5" fillId="0" borderId="12" xfId="0" applyFont="1" applyBorder="1"/>
    <xf numFmtId="0" fontId="6" fillId="0" borderId="12" xfId="0" applyFont="1" applyBorder="1"/>
    <xf numFmtId="0" fontId="2" fillId="2" borderId="5" xfId="0" applyFont="1" applyFill="1" applyBorder="1"/>
    <xf numFmtId="0" fontId="1" fillId="2" borderId="4" xfId="0" applyFont="1" applyFill="1" applyBorder="1"/>
    <xf numFmtId="0" fontId="1" fillId="6" borderId="1" xfId="0" applyFont="1" applyFill="1" applyBorder="1"/>
    <xf numFmtId="0" fontId="2" fillId="6" borderId="1" xfId="0" applyFont="1" applyFill="1" applyBorder="1"/>
    <xf numFmtId="0" fontId="2" fillId="2" borderId="4" xfId="0" applyFont="1" applyFill="1" applyBorder="1"/>
    <xf numFmtId="0" fontId="2" fillId="0" borderId="1" xfId="0" quotePrefix="1" applyFont="1" applyBorder="1"/>
  </cellXfs>
  <cellStyles count="1">
    <cellStyle name="Normal" xfId="0" builtinId="0"/>
  </cellStyles>
  <dxfs count="11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ACFFE1-E87D-4DC0-A2C1-890D4AFF0045}" name="Table3232" displayName="Table3232" ref="A1:J164" totalsRowShown="0" headerRowDxfId="102" dataDxfId="101" tableBorderDxfId="100">
  <autoFilter ref="A1:J164" xr:uid="{E9D8E600-FE9F-5C45-8634-0D6DD0E667E3}"/>
  <tableColumns count="10">
    <tableColumn id="1" xr3:uid="{B632CFA7-C8C4-483A-B7C8-BDC67FAF568C}" name="Segment #" dataDxfId="99"/>
    <tableColumn id="2" xr3:uid="{1D7609CC-04AB-4FC9-A597-EF5F8D1FC695}" name="Segment Type" dataDxfId="98"/>
    <tableColumn id="3" xr3:uid="{C72631D4-B330-484F-8526-8C2EAF5DCF27}" name="Input 1" dataDxfId="97"/>
    <tableColumn id="4" xr3:uid="{CE5437A5-B81D-4B09-9A18-306DB1A626F0}" name="Input 2" dataDxfId="96"/>
    <tableColumn id="5" xr3:uid="{439065A9-5CE9-476C-BAFA-52A281C88B86}" name="Input 3" dataDxfId="95"/>
    <tableColumn id="6" xr3:uid="{06DCC8E2-B8CF-4844-8A8A-4D4032C87DC3}" name="Input 4" dataDxfId="94"/>
    <tableColumn id="7" xr3:uid="{743426BA-10A8-4FE4-9575-E4B4F2181BA5}" name="Input 5" dataDxfId="93"/>
    <tableColumn id="8" xr3:uid="{A946E6CC-7864-4503-A444-8F8A5F5C4575}" name="Input 6" dataDxfId="92"/>
    <tableColumn id="9" xr3:uid="{E998E880-3942-43FF-A8B6-93782FACC54B}" name="Input 7" dataDxfId="91"/>
    <tableColumn id="10" xr3:uid="{D2BDBD43-0347-452D-B3DC-B58D4641398E}" name="Input 8" dataDxfId="90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804554-E98D-4B7B-AEDA-69BF39816D27}" name="Table323235" displayName="Table323235" ref="A1:J160" totalsRowShown="0" headerRowDxfId="89" dataDxfId="88" tableBorderDxfId="87">
  <autoFilter ref="A1:J160" xr:uid="{B6804554-E98D-4B7B-AEDA-69BF39816D27}"/>
  <tableColumns count="10">
    <tableColumn id="1" xr3:uid="{B704E3E4-61BC-4D44-967B-CCB8CCEE673B}" name="Segment #" dataDxfId="86"/>
    <tableColumn id="2" xr3:uid="{286655A0-B5CC-47E7-B9F9-871526A3CD23}" name="Segment Type" dataDxfId="85"/>
    <tableColumn id="3" xr3:uid="{75843C25-490E-4369-9517-58C1CE278584}" name="Input 1" dataDxfId="84"/>
    <tableColumn id="4" xr3:uid="{0C4C3DDB-14D6-4D35-9776-974BC98728FF}" name="Input 2" dataDxfId="83"/>
    <tableColumn id="5" xr3:uid="{CEB07C3C-EA9C-4BCA-84C3-2D12F64EBD34}" name="Input 3" dataDxfId="82"/>
    <tableColumn id="6" xr3:uid="{42045445-C69F-46BD-A509-20A2F4CD0B2B}" name="Input 4" dataDxfId="81"/>
    <tableColumn id="7" xr3:uid="{1B8FAD8B-AB14-4B4C-A571-D3773C178170}" name="Input 5" dataDxfId="80"/>
    <tableColumn id="8" xr3:uid="{1AF36124-8068-4856-B191-FCE6DCD817CE}" name="Input 6" dataDxfId="79"/>
    <tableColumn id="9" xr3:uid="{2B29D98D-A2FE-4CE3-B758-38AE301D4DBA}" name="Input 7" dataDxfId="78"/>
    <tableColumn id="10" xr3:uid="{43D1E859-4033-4D0B-88CD-E02FA287D4F1}" name="Input 8" dataDxfId="77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13AA138-3C7D-4D94-B878-AA0CDEC3F0C3}" name="Table32323" displayName="Table32323" ref="A1:J160" totalsRowShown="0" headerRowDxfId="76" dataDxfId="75" tableBorderDxfId="74">
  <autoFilter ref="A1:J160" xr:uid="{913AA138-3C7D-4D94-B878-AA0CDEC3F0C3}"/>
  <tableColumns count="10">
    <tableColumn id="1" xr3:uid="{B3DFD8AB-57A5-4AA3-B59C-F2F4194BC937}" name="Segment #" dataDxfId="73"/>
    <tableColumn id="2" xr3:uid="{7CCA2877-3D7E-40BE-9922-AA8402045F23}" name="Segment Type" dataDxfId="72"/>
    <tableColumn id="3" xr3:uid="{B5D86D0A-5B9F-415B-900C-BCABB6350886}" name="Input 1" dataDxfId="71"/>
    <tableColumn id="4" xr3:uid="{6F063938-FCC3-4F47-B3F6-7D94999D5624}" name="Input 2" dataDxfId="70"/>
    <tableColumn id="5" xr3:uid="{860D486A-3AE0-4B7D-9151-34B173B9BD78}" name="Input 3" dataDxfId="69"/>
    <tableColumn id="6" xr3:uid="{8B81E034-D871-4D75-98F7-B4FB381C34FA}" name="Input 4" dataDxfId="68"/>
    <tableColumn id="7" xr3:uid="{3BCDD189-4131-44F8-81E9-C85ED8492796}" name="Input 5" dataDxfId="67"/>
    <tableColumn id="8" xr3:uid="{A737D111-48AB-4FBC-8504-6A07DD4352A1}" name="Input 6" dataDxfId="66"/>
    <tableColumn id="9" xr3:uid="{FA25A03C-C29D-41DC-8381-3352663F29D2}" name="Input 7" dataDxfId="65"/>
    <tableColumn id="10" xr3:uid="{9F709092-5F7F-4957-AAD3-563FB622FE60}" name="Input 8" dataDxfId="64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6A3C6B5-50F3-457C-8058-5B3A4A42E4CD}" name="Table323236" displayName="Table323236" ref="A1:J160" totalsRowShown="0" headerRowDxfId="63" dataDxfId="62" tableBorderDxfId="61">
  <autoFilter ref="A1:J160" xr:uid="{56A3C6B5-50F3-457C-8058-5B3A4A42E4CD}"/>
  <tableColumns count="10">
    <tableColumn id="1" xr3:uid="{CE39CD8F-9278-4591-9BBE-5AAB63B10B24}" name="Segment #" dataDxfId="60"/>
    <tableColumn id="2" xr3:uid="{282AC938-B455-4020-B116-BA4ECE157C46}" name="Segment Type" dataDxfId="59"/>
    <tableColumn id="3" xr3:uid="{7D73671D-DA2D-4F22-ABB8-52AD71ED8A3C}" name="Input 1" dataDxfId="58"/>
    <tableColumn id="4" xr3:uid="{33637B65-0504-4C63-98D4-F387C315678B}" name="Input 2" dataDxfId="57"/>
    <tableColumn id="5" xr3:uid="{7107F17C-6B65-4337-BBF2-8EA496137338}" name="Input 3" dataDxfId="56"/>
    <tableColumn id="6" xr3:uid="{3403C0BB-A02F-4EBF-8B29-94B631DCF59F}" name="Input 4" dataDxfId="55"/>
    <tableColumn id="7" xr3:uid="{4B2CA413-5D39-42AA-8706-9FB495DDFAAE}" name="Input 5" dataDxfId="54"/>
    <tableColumn id="8" xr3:uid="{5B3E5CF5-7420-4CF5-87B4-C7AC2CB0A172}" name="Input 6" dataDxfId="53"/>
    <tableColumn id="9" xr3:uid="{D78D35AC-1233-4CC3-A82B-BD02570BD5D6}" name="Input 7" dataDxfId="52"/>
    <tableColumn id="10" xr3:uid="{CA24A4F0-CDE3-4523-8875-2259C784A8D2}" name="Input 8" dataDxfId="51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A8BF2F5-5B6A-4979-BAA7-FCB250D24A44}" name="Table323237" displayName="Table323237" ref="A1:J160" totalsRowShown="0" headerRowDxfId="115" dataDxfId="114" tableBorderDxfId="113">
  <autoFilter ref="A1:J160" xr:uid="{0A8BF2F5-5B6A-4979-BAA7-FCB250D24A44}"/>
  <tableColumns count="10">
    <tableColumn id="1" xr3:uid="{ED9791FA-E26E-43DC-8E06-E98D938377FC}" name="Segment #" dataDxfId="112"/>
    <tableColumn id="2" xr3:uid="{C6CCF68C-3EF1-499B-A89F-342D2CDDF1D3}" name="Segment Type" dataDxfId="111"/>
    <tableColumn id="3" xr3:uid="{E2C94A4B-8C1A-4DA8-A8F2-C420602D2FE0}" name="Input 1" dataDxfId="110"/>
    <tableColumn id="4" xr3:uid="{316C36A2-0426-453E-85B2-0A319D1974FF}" name="Input 2" dataDxfId="109"/>
    <tableColumn id="5" xr3:uid="{D1CF3BD7-EF78-4CFF-94EF-5678573DE934}" name="Input 3" dataDxfId="108"/>
    <tableColumn id="6" xr3:uid="{B8C56522-BACB-4A39-8ECB-A8DC31269262}" name="Input 4" dataDxfId="107"/>
    <tableColumn id="7" xr3:uid="{3A7AD860-5CE7-4A67-9259-5177F73CBE67}" name="Input 5" dataDxfId="106"/>
    <tableColumn id="8" xr3:uid="{56B70BB7-4241-42A4-A8E8-BEC72A966005}" name="Input 6" dataDxfId="105"/>
    <tableColumn id="9" xr3:uid="{59B39EED-595F-4DC7-A000-F3E979535728}" name="Input 7" dataDxfId="104"/>
    <tableColumn id="10" xr3:uid="{31F5E221-ACAF-4497-A474-121435F2B5E9}" name="Input 8" dataDxfId="103"/>
  </tableColumns>
  <tableStyleInfo name="TableStyleMedium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1172FF-565D-4713-92F8-11DA6193135E}" name="Table32" displayName="Table32" ref="A1:J200" totalsRowShown="0" headerRowDxfId="50" dataDxfId="49" tableBorderDxfId="48">
  <autoFilter ref="A1:J200" xr:uid="{A91172FF-565D-4713-92F8-11DA6193135E}"/>
  <tableColumns count="10">
    <tableColumn id="1" xr3:uid="{35BEFD45-39E8-4213-A961-6C6912418827}" name="Segment #" dataDxfId="47"/>
    <tableColumn id="2" xr3:uid="{F8134856-52D7-46A9-894D-424027BDC2DD}" name="Segment Type" dataDxfId="46"/>
    <tableColumn id="3" xr3:uid="{BD9C92D7-E87B-43C7-98EB-E858F908AC0D}" name="Input 1" dataDxfId="45"/>
    <tableColumn id="4" xr3:uid="{BF673525-DF94-49B9-8A01-5A63306BFE84}" name="Input 2" dataDxfId="44"/>
    <tableColumn id="5" xr3:uid="{135099BD-AA7A-4BEC-B310-F04DFC58C0AF}" name="Input 3" dataDxfId="43"/>
    <tableColumn id="6" xr3:uid="{01843502-9A77-42E8-8210-9A33FD066F60}" name="Input 4" dataDxfId="42"/>
    <tableColumn id="7" xr3:uid="{BF834078-2CED-4A97-B183-E564AEB99555}" name="Input 5" dataDxfId="41"/>
    <tableColumn id="8" xr3:uid="{D306DAB0-C02B-42AA-B09F-1D82D7F52D45}" name="Input 6" dataDxfId="40"/>
    <tableColumn id="9" xr3:uid="{DAEB4E0D-E30C-4C27-91F3-4A7C4AFC1607}" name="Input 7" dataDxfId="39"/>
    <tableColumn id="10" xr3:uid="{C16E678E-F195-4809-9392-501A5ABF2E70}" name="Input 8" dataDxfId="38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tabSelected="1" zoomScale="115" workbookViewId="0">
      <selection activeCell="B16" sqref="B16"/>
    </sheetView>
  </sheetViews>
  <sheetFormatPr defaultColWidth="10.796875" defaultRowHeight="15"/>
  <cols>
    <col min="1" max="1" width="20.796875" style="2" customWidth="1"/>
    <col min="2" max="2" width="23.796875" style="2" customWidth="1"/>
    <col min="3" max="4" width="20.796875" style="2" customWidth="1"/>
    <col min="5" max="5" width="10.796875" style="2"/>
    <col min="6" max="6" width="15" style="2" customWidth="1"/>
    <col min="7" max="16384" width="10.796875" style="2"/>
  </cols>
  <sheetData>
    <row r="1" spans="1:6" ht="15.6">
      <c r="A1" s="23" t="s">
        <v>15</v>
      </c>
      <c r="B1" s="16" t="s">
        <v>16</v>
      </c>
      <c r="C1" s="14"/>
      <c r="D1" s="14"/>
      <c r="E1" s="14"/>
      <c r="F1" s="14"/>
    </row>
    <row r="2" spans="1:6" ht="15.6">
      <c r="A2" s="4"/>
      <c r="B2" s="17">
        <v>0.995</v>
      </c>
      <c r="C2" s="3"/>
      <c r="D2" s="3"/>
      <c r="E2" s="3"/>
      <c r="F2" s="3"/>
    </row>
    <row r="3" spans="1:6" ht="15.6">
      <c r="A3" s="23"/>
      <c r="B3" s="14"/>
      <c r="C3" s="14"/>
      <c r="D3" s="14"/>
      <c r="E3" s="14"/>
      <c r="F3" s="14"/>
    </row>
    <row r="4" spans="1:6" ht="15.6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ht="15.6">
      <c r="A5" s="23"/>
      <c r="B5" s="14">
        <v>0</v>
      </c>
      <c r="C5" s="14">
        <v>1.5</v>
      </c>
      <c r="D5" s="14">
        <v>0.05</v>
      </c>
      <c r="E5" s="14">
        <v>0</v>
      </c>
      <c r="F5" s="14"/>
    </row>
    <row r="6" spans="1:6" ht="15.6">
      <c r="A6" s="4"/>
      <c r="B6" s="3"/>
      <c r="C6" s="3"/>
      <c r="D6" s="3"/>
      <c r="E6" s="3"/>
      <c r="F6" s="3"/>
    </row>
    <row r="7" spans="1:6" s="13" customFormat="1" ht="15.6">
      <c r="A7" s="16" t="s">
        <v>4</v>
      </c>
      <c r="B7" s="16" t="s">
        <v>8</v>
      </c>
      <c r="C7" s="16" t="s">
        <v>9</v>
      </c>
      <c r="D7" s="16" t="s">
        <v>6</v>
      </c>
      <c r="E7" s="16" t="s">
        <v>7</v>
      </c>
      <c r="F7" s="16" t="s">
        <v>32</v>
      </c>
    </row>
    <row r="8" spans="1:6" s="15" customFormat="1">
      <c r="A8" s="18"/>
      <c r="B8" s="18">
        <v>0</v>
      </c>
      <c r="C8" s="18">
        <v>10000</v>
      </c>
      <c r="D8" s="18">
        <v>0.1</v>
      </c>
      <c r="E8" s="18">
        <v>0.4</v>
      </c>
      <c r="F8" s="18">
        <v>0</v>
      </c>
    </row>
    <row r="9" spans="1:6" ht="15.6">
      <c r="A9" s="23"/>
      <c r="B9" s="14"/>
      <c r="C9" s="14"/>
      <c r="D9" s="14"/>
      <c r="E9" s="14"/>
      <c r="F9" s="14"/>
    </row>
    <row r="10" spans="1:6" ht="15.6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ht="15.6">
      <c r="A11" s="23"/>
      <c r="B11" s="14">
        <v>38000</v>
      </c>
      <c r="C11" s="14">
        <v>2000</v>
      </c>
      <c r="D11" s="14">
        <v>0.84</v>
      </c>
      <c r="E11" s="14">
        <v>0</v>
      </c>
      <c r="F11" s="14"/>
    </row>
    <row r="12" spans="1:6" ht="15.6">
      <c r="A12" s="4"/>
      <c r="B12" s="3"/>
      <c r="C12" s="3"/>
      <c r="D12" s="3"/>
      <c r="E12" s="3"/>
      <c r="F12" s="3"/>
    </row>
    <row r="13" spans="1:6" s="13" customFormat="1" ht="15.6">
      <c r="A13" s="16" t="s">
        <v>12</v>
      </c>
      <c r="B13" s="16" t="s">
        <v>5</v>
      </c>
      <c r="C13" s="16" t="s">
        <v>13</v>
      </c>
      <c r="D13" s="16" t="s">
        <v>34</v>
      </c>
      <c r="E13" s="16"/>
      <c r="F13" s="16"/>
    </row>
    <row r="14" spans="1:6" ht="15.6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ht="15.6">
      <c r="A15" s="23"/>
      <c r="B15" s="14"/>
      <c r="C15" s="14"/>
      <c r="D15" s="14"/>
      <c r="E15" s="14"/>
      <c r="F15" s="14"/>
    </row>
    <row r="16" spans="1:6" ht="15.6">
      <c r="A16" s="4" t="s">
        <v>26</v>
      </c>
      <c r="B16" s="3" t="s">
        <v>16</v>
      </c>
      <c r="C16" s="3"/>
      <c r="D16" s="3"/>
      <c r="E16" s="3"/>
      <c r="F16" s="3"/>
    </row>
    <row r="17" spans="1:6" ht="15.6">
      <c r="A17" s="23"/>
      <c r="B17" s="14">
        <v>0.99</v>
      </c>
      <c r="C17" s="14"/>
      <c r="D17" s="14"/>
      <c r="E17" s="14"/>
      <c r="F17" s="14"/>
    </row>
    <row r="18" spans="1:6" ht="15.6">
      <c r="A18" s="4"/>
      <c r="B18" s="3"/>
      <c r="C18" s="3"/>
      <c r="D18" s="3"/>
      <c r="E18" s="3"/>
      <c r="F18" s="3"/>
    </row>
    <row r="19" spans="1:6" ht="15.6">
      <c r="A19" s="23" t="s">
        <v>27</v>
      </c>
      <c r="B19" s="16" t="s">
        <v>16</v>
      </c>
      <c r="C19" s="14"/>
      <c r="D19" s="14"/>
      <c r="E19" s="14"/>
      <c r="F19" s="14"/>
    </row>
    <row r="20" spans="1:6" ht="15.6">
      <c r="A20" s="3"/>
      <c r="B20" s="17">
        <v>0.999</v>
      </c>
      <c r="C20" s="3"/>
      <c r="D20" s="3"/>
      <c r="E20" s="3"/>
      <c r="F20" s="3"/>
    </row>
    <row r="21" spans="1:6">
      <c r="A21" s="14"/>
      <c r="B21" s="14"/>
      <c r="C21" s="14"/>
      <c r="D21" s="14"/>
      <c r="E21" s="14"/>
      <c r="F21" s="14"/>
    </row>
    <row r="22" spans="1:6" ht="15.6">
      <c r="A22" s="23" t="s">
        <v>28</v>
      </c>
      <c r="B22" s="14" t="s">
        <v>29</v>
      </c>
      <c r="C22" s="14"/>
      <c r="D22" s="14"/>
      <c r="E22" s="14"/>
      <c r="F22" s="14"/>
    </row>
    <row r="23" spans="1:6" ht="15.6">
      <c r="A23" s="4"/>
      <c r="B23" s="3">
        <v>1000</v>
      </c>
      <c r="C23" s="3"/>
      <c r="D23" s="3"/>
      <c r="E23" s="3"/>
      <c r="F23" s="3"/>
    </row>
    <row r="24" spans="1:6">
      <c r="A24" s="24"/>
      <c r="B24" s="24"/>
      <c r="C24" s="24"/>
      <c r="D24" s="24"/>
      <c r="E24" s="24"/>
      <c r="F24" s="24"/>
    </row>
    <row r="25" spans="1:6" ht="15.6">
      <c r="A25" s="4" t="s">
        <v>35</v>
      </c>
      <c r="B25" s="4" t="s">
        <v>1</v>
      </c>
      <c r="C25" s="4" t="s">
        <v>36</v>
      </c>
      <c r="D25" s="4" t="s">
        <v>37</v>
      </c>
      <c r="E25" s="3"/>
      <c r="F25" s="3"/>
    </row>
    <row r="26" spans="1:6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37" priority="1">
      <formula>MOD(ROW(),2)=0</formula>
    </cfRule>
  </conditionalFormatting>
  <conditionalFormatting sqref="B1:F12 F13:F20 B15:E20 A21:F21 B22:F23">
    <cfRule type="expression" dxfId="36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0DA33-D634-412D-A09D-2BFB043838BB}">
  <dimension ref="A1:J164"/>
  <sheetViews>
    <sheetView zoomScale="105" zoomScaleNormal="111" workbookViewId="0">
      <selection activeCell="D12" sqref="D12"/>
    </sheetView>
  </sheetViews>
  <sheetFormatPr defaultColWidth="10.796875" defaultRowHeight="15"/>
  <cols>
    <col min="1" max="1" width="15.796875" style="2" customWidth="1"/>
    <col min="2" max="2" width="16.296875" style="2" customWidth="1"/>
    <col min="3" max="3" width="19.296875" style="2" customWidth="1"/>
    <col min="4" max="4" width="17.296875" style="2" customWidth="1"/>
    <col min="5" max="5" width="12.69921875" style="2" customWidth="1"/>
    <col min="6" max="6" width="13.796875" style="2" customWidth="1"/>
    <col min="7" max="16384" width="10.796875" style="2"/>
  </cols>
  <sheetData>
    <row r="1" spans="1:10" ht="16.2" thickBot="1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5.6">
      <c r="A2" s="19">
        <v>1</v>
      </c>
      <c r="B2" s="19" t="s">
        <v>15</v>
      </c>
      <c r="C2" s="19" t="s">
        <v>16</v>
      </c>
      <c r="D2" s="19"/>
      <c r="E2" s="19"/>
      <c r="F2" s="21"/>
      <c r="G2" s="5"/>
      <c r="H2" s="5"/>
      <c r="I2" s="5"/>
      <c r="J2" s="7"/>
    </row>
    <row r="3" spans="1:10" ht="15.6">
      <c r="A3" s="20"/>
      <c r="B3" s="22"/>
      <c r="C3" s="22">
        <v>0.995</v>
      </c>
      <c r="D3" s="22"/>
      <c r="E3" s="22"/>
      <c r="F3" s="22"/>
      <c r="G3" s="3"/>
      <c r="H3" s="3"/>
      <c r="I3" s="3"/>
      <c r="J3" s="9"/>
    </row>
    <row r="4" spans="1:10" ht="15.6">
      <c r="A4" s="21">
        <v>2</v>
      </c>
      <c r="B4" s="21" t="s">
        <v>0</v>
      </c>
      <c r="C4" s="21" t="s">
        <v>1</v>
      </c>
      <c r="D4" s="21" t="s">
        <v>2</v>
      </c>
      <c r="E4" s="21" t="s">
        <v>3</v>
      </c>
      <c r="F4" s="21" t="s">
        <v>31</v>
      </c>
      <c r="G4" s="3"/>
      <c r="H4" s="3"/>
      <c r="I4" s="3"/>
      <c r="J4" s="9"/>
    </row>
    <row r="5" spans="1:10" ht="15.6">
      <c r="A5" s="20"/>
      <c r="B5" s="22"/>
      <c r="C5" s="22">
        <v>0</v>
      </c>
      <c r="D5">
        <v>2.36</v>
      </c>
      <c r="E5" s="22">
        <v>0.02</v>
      </c>
      <c r="F5">
        <v>0.05</v>
      </c>
      <c r="G5" s="3"/>
      <c r="H5" s="3"/>
      <c r="I5" s="3"/>
      <c r="J5" s="9"/>
    </row>
    <row r="6" spans="1:10" ht="15.6">
      <c r="A6" s="21">
        <v>3</v>
      </c>
      <c r="B6" s="21" t="s">
        <v>38</v>
      </c>
      <c r="C6" s="21" t="s">
        <v>8</v>
      </c>
      <c r="D6" s="21" t="s">
        <v>9</v>
      </c>
      <c r="E6" s="21" t="s">
        <v>6</v>
      </c>
      <c r="F6" s="21" t="s">
        <v>7</v>
      </c>
      <c r="G6" s="3" t="s">
        <v>32</v>
      </c>
      <c r="H6" s="3"/>
      <c r="I6" s="3"/>
      <c r="J6" s="9"/>
    </row>
    <row r="7" spans="1:10" ht="16.8">
      <c r="A7" s="20"/>
      <c r="B7" s="22"/>
      <c r="C7" s="22">
        <v>0</v>
      </c>
      <c r="D7" s="22">
        <v>15000</v>
      </c>
      <c r="E7" s="25">
        <v>0.21739275999999999</v>
      </c>
      <c r="F7" s="25">
        <v>0.38820136</v>
      </c>
      <c r="G7" s="3">
        <v>0</v>
      </c>
      <c r="H7" s="3"/>
      <c r="I7" s="3"/>
      <c r="J7" s="9"/>
    </row>
    <row r="8" spans="1:10" ht="15.6">
      <c r="A8" s="21">
        <v>4</v>
      </c>
      <c r="B8" s="21" t="s">
        <v>39</v>
      </c>
      <c r="C8" s="21" t="s">
        <v>5</v>
      </c>
      <c r="D8" s="21" t="s">
        <v>17</v>
      </c>
      <c r="E8" s="21" t="s">
        <v>11</v>
      </c>
      <c r="F8" s="21" t="s">
        <v>33</v>
      </c>
      <c r="G8" s="3"/>
      <c r="H8" s="3"/>
      <c r="I8" s="3"/>
      <c r="J8" s="9"/>
    </row>
    <row r="9" spans="1:10" ht="15.6">
      <c r="A9" s="20"/>
      <c r="B9" s="22"/>
      <c r="C9" s="22">
        <f>D7</f>
        <v>15000</v>
      </c>
      <c r="D9" s="22">
        <v>50</v>
      </c>
      <c r="E9" s="22">
        <f>F7</f>
        <v>0.38820136</v>
      </c>
      <c r="F9" s="22">
        <v>0</v>
      </c>
      <c r="G9" s="3"/>
      <c r="H9" s="3"/>
      <c r="I9" s="3"/>
      <c r="J9" s="9"/>
    </row>
    <row r="10" spans="1:10" ht="15.6">
      <c r="A10" s="21">
        <v>5</v>
      </c>
      <c r="B10" s="21" t="s">
        <v>4</v>
      </c>
      <c r="C10" s="21" t="s">
        <v>8</v>
      </c>
      <c r="D10" s="21" t="s">
        <v>9</v>
      </c>
      <c r="E10" s="21" t="s">
        <v>6</v>
      </c>
      <c r="F10" s="21" t="s">
        <v>7</v>
      </c>
      <c r="G10" s="3" t="s">
        <v>32</v>
      </c>
      <c r="H10" s="3"/>
      <c r="I10" s="3"/>
      <c r="J10" s="9"/>
    </row>
    <row r="11" spans="1:10" ht="15.6">
      <c r="A11" s="20"/>
      <c r="B11" s="22"/>
      <c r="C11" s="22">
        <v>15000</v>
      </c>
      <c r="D11" s="22">
        <v>35000</v>
      </c>
      <c r="E11" s="22">
        <f>E9</f>
        <v>0.38820136</v>
      </c>
      <c r="F11" s="22">
        <v>0.75</v>
      </c>
      <c r="G11" s="3">
        <v>0</v>
      </c>
      <c r="H11" s="3"/>
      <c r="I11" s="3"/>
      <c r="J11" s="9"/>
    </row>
    <row r="12" spans="1:10" ht="15.6">
      <c r="A12" s="21">
        <v>6</v>
      </c>
      <c r="B12" s="21" t="s">
        <v>10</v>
      </c>
      <c r="C12" s="21" t="s">
        <v>5</v>
      </c>
      <c r="D12" s="21" t="s">
        <v>17</v>
      </c>
      <c r="E12" s="21" t="s">
        <v>11</v>
      </c>
      <c r="F12" s="21" t="s">
        <v>33</v>
      </c>
      <c r="G12" s="3"/>
      <c r="H12" s="3"/>
      <c r="I12" s="3"/>
      <c r="J12" s="9"/>
    </row>
    <row r="13" spans="1:10" ht="15.6">
      <c r="A13" s="20"/>
      <c r="B13" s="22"/>
      <c r="C13" s="22">
        <f>D11</f>
        <v>35000</v>
      </c>
      <c r="D13" s="22">
        <v>50</v>
      </c>
      <c r="E13" s="22">
        <f>F11</f>
        <v>0.75</v>
      </c>
      <c r="F13" s="22">
        <v>0</v>
      </c>
      <c r="G13" s="3"/>
      <c r="H13" s="3"/>
      <c r="I13" s="3"/>
      <c r="J13" s="9"/>
    </row>
    <row r="14" spans="1:10" ht="15.6">
      <c r="A14" s="21">
        <v>13</v>
      </c>
      <c r="B14" s="21" t="s">
        <v>26</v>
      </c>
      <c r="C14" s="21" t="s">
        <v>16</v>
      </c>
      <c r="D14" s="3"/>
      <c r="E14" s="3"/>
      <c r="F14" s="3"/>
      <c r="G14" s="3"/>
      <c r="H14" s="3"/>
      <c r="I14" s="3"/>
      <c r="J14" s="9"/>
    </row>
    <row r="15" spans="1:10">
      <c r="A15" s="22"/>
      <c r="B15" s="22"/>
      <c r="C15" s="22">
        <v>0.995</v>
      </c>
      <c r="D15" s="3"/>
      <c r="E15" s="3"/>
      <c r="F15" s="3"/>
      <c r="G15" s="3"/>
      <c r="H15" s="3"/>
      <c r="I15" s="3"/>
      <c r="J15" s="9"/>
    </row>
    <row r="16" spans="1:10" ht="15.6">
      <c r="A16" s="21">
        <v>14</v>
      </c>
      <c r="B16" s="21" t="s">
        <v>27</v>
      </c>
      <c r="C16" s="21" t="s">
        <v>16</v>
      </c>
      <c r="D16" s="3"/>
      <c r="E16" s="3"/>
      <c r="F16" s="3"/>
      <c r="G16" s="3"/>
      <c r="H16" s="3"/>
      <c r="I16" s="3"/>
      <c r="J16" s="9"/>
    </row>
    <row r="17" spans="1:10">
      <c r="A17" s="22"/>
      <c r="B17" s="22"/>
      <c r="C17" s="22">
        <v>0.995</v>
      </c>
      <c r="D17" s="3"/>
      <c r="E17" s="3"/>
      <c r="F17" s="3"/>
      <c r="G17" s="3"/>
      <c r="H17" s="3"/>
      <c r="I17" s="3"/>
      <c r="J17" s="9"/>
    </row>
    <row r="18" spans="1:10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>
      <c r="A19" s="6"/>
      <c r="B19" s="3"/>
      <c r="C19" s="3"/>
      <c r="D19" s="3"/>
      <c r="E19" s="3"/>
      <c r="F19" s="3"/>
      <c r="G19" s="3"/>
      <c r="H19" s="3"/>
      <c r="I19" s="3"/>
      <c r="J19" s="9"/>
    </row>
    <row r="20" spans="1:10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>
      <c r="A164" s="10"/>
      <c r="B164" s="11"/>
      <c r="C164" s="11"/>
      <c r="D164" s="11"/>
      <c r="E164" s="11"/>
      <c r="F164" s="11"/>
      <c r="G164" s="11"/>
      <c r="H164" s="11"/>
      <c r="I164" s="11"/>
      <c r="J164" s="12"/>
    </row>
  </sheetData>
  <conditionalFormatting sqref="A1">
    <cfRule type="expression" dxfId="35" priority="9">
      <formula>MOD(ROW(),2)=0</formula>
    </cfRule>
  </conditionalFormatting>
  <conditionalFormatting sqref="A14:XFD1048576">
    <cfRule type="expression" dxfId="34" priority="1">
      <formula>MOD(ROW(),2)=0</formula>
    </cfRule>
  </conditionalFormatting>
  <conditionalFormatting sqref="B1 D1:J1">
    <cfRule type="expression" dxfId="33" priority="8">
      <formula>MOD(ROW(),2)=0</formula>
    </cfRule>
  </conditionalFormatting>
  <conditionalFormatting sqref="G2:XFD13">
    <cfRule type="expression" dxfId="32" priority="3">
      <formula>MOD(ROW(),2)=0</formula>
    </cfRule>
  </conditionalFormatting>
  <conditionalFormatting sqref="K1:XFD1">
    <cfRule type="expression" dxfId="31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719E-1478-440C-97A1-7C47C18472C1}">
  <dimension ref="A1:J160"/>
  <sheetViews>
    <sheetView workbookViewId="0">
      <selection activeCell="C14" sqref="C14"/>
    </sheetView>
  </sheetViews>
  <sheetFormatPr defaultColWidth="10.796875" defaultRowHeight="15"/>
  <cols>
    <col min="1" max="1" width="15.796875" style="2" customWidth="1"/>
    <col min="2" max="2" width="16.296875" style="2" customWidth="1"/>
    <col min="3" max="3" width="19.296875" style="2" customWidth="1"/>
    <col min="4" max="4" width="17.296875" style="2" customWidth="1"/>
    <col min="5" max="5" width="12.69921875" style="2" customWidth="1"/>
    <col min="6" max="6" width="13.796875" style="2" customWidth="1"/>
    <col min="7" max="16384" width="10.796875" style="2"/>
  </cols>
  <sheetData>
    <row r="1" spans="1:10" ht="16.2" thickBot="1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5.6">
      <c r="A2" s="19">
        <v>1</v>
      </c>
      <c r="B2" s="19" t="s">
        <v>15</v>
      </c>
      <c r="C2" s="19" t="s">
        <v>16</v>
      </c>
      <c r="D2" s="19"/>
      <c r="E2" s="19"/>
      <c r="F2" s="21"/>
      <c r="G2" s="5"/>
      <c r="H2" s="5"/>
      <c r="I2" s="5"/>
      <c r="J2" s="7"/>
    </row>
    <row r="3" spans="1:10" ht="15.6">
      <c r="A3" s="20"/>
      <c r="B3" s="22"/>
      <c r="C3" s="22">
        <v>0.995</v>
      </c>
      <c r="D3" s="22"/>
      <c r="E3" s="22"/>
      <c r="F3" s="22"/>
      <c r="G3" s="3"/>
      <c r="H3" s="3"/>
      <c r="I3" s="3"/>
      <c r="J3" s="9"/>
    </row>
    <row r="4" spans="1:10" ht="15.6">
      <c r="A4" s="21">
        <v>2</v>
      </c>
      <c r="B4" s="21" t="s">
        <v>0</v>
      </c>
      <c r="C4" s="21" t="s">
        <v>1</v>
      </c>
      <c r="D4" s="21" t="s">
        <v>2</v>
      </c>
      <c r="E4" s="21" t="s">
        <v>3</v>
      </c>
      <c r="F4" s="21" t="s">
        <v>31</v>
      </c>
      <c r="G4" s="3"/>
      <c r="H4" s="3"/>
      <c r="I4" s="3"/>
      <c r="J4" s="9"/>
    </row>
    <row r="5" spans="1:10" ht="15.6">
      <c r="A5" s="20"/>
      <c r="B5" s="22"/>
      <c r="C5" s="22">
        <v>7815</v>
      </c>
      <c r="D5" s="38">
        <v>2.56</v>
      </c>
      <c r="E5" s="22">
        <v>0.02</v>
      </c>
      <c r="F5">
        <v>0.05</v>
      </c>
      <c r="G5" s="3"/>
      <c r="H5" s="3"/>
      <c r="I5" s="3"/>
      <c r="J5" s="9"/>
    </row>
    <row r="6" spans="1:10" ht="15.6">
      <c r="A6" s="21">
        <v>3</v>
      </c>
      <c r="B6" s="21" t="s">
        <v>38</v>
      </c>
      <c r="C6" s="21" t="s">
        <v>8</v>
      </c>
      <c r="D6" s="21" t="s">
        <v>9</v>
      </c>
      <c r="E6" s="21" t="s">
        <v>6</v>
      </c>
      <c r="F6" s="21" t="s">
        <v>7</v>
      </c>
      <c r="G6" s="3" t="s">
        <v>32</v>
      </c>
      <c r="H6" s="3"/>
      <c r="I6" s="3"/>
      <c r="J6" s="9"/>
    </row>
    <row r="7" spans="1:10" ht="16.8">
      <c r="A7" s="20"/>
      <c r="B7" s="22"/>
      <c r="C7" s="22">
        <v>7815</v>
      </c>
      <c r="D7" s="22">
        <v>22000</v>
      </c>
      <c r="E7" s="25">
        <v>0.217</v>
      </c>
      <c r="F7" s="25">
        <v>0.63</v>
      </c>
      <c r="G7" s="3">
        <v>0</v>
      </c>
      <c r="H7" s="3"/>
      <c r="I7" s="3"/>
      <c r="J7" s="9"/>
    </row>
    <row r="8" spans="1:10" ht="15.6">
      <c r="A8" s="21">
        <v>4</v>
      </c>
      <c r="B8" s="21" t="s">
        <v>39</v>
      </c>
      <c r="C8" s="21" t="s">
        <v>5</v>
      </c>
      <c r="D8" s="21" t="s">
        <v>17</v>
      </c>
      <c r="E8" s="21" t="s">
        <v>11</v>
      </c>
      <c r="F8" s="21" t="s">
        <v>33</v>
      </c>
      <c r="G8" s="3"/>
      <c r="H8" s="3"/>
      <c r="I8" s="3"/>
      <c r="J8" s="9"/>
    </row>
    <row r="9" spans="1:10" ht="15.6">
      <c r="A9" s="20"/>
      <c r="B9" s="22"/>
      <c r="C9" s="22">
        <v>19000</v>
      </c>
      <c r="D9" s="22">
        <v>120</v>
      </c>
      <c r="E9" s="22">
        <f>F7</f>
        <v>0.63</v>
      </c>
      <c r="F9" s="22">
        <v>0</v>
      </c>
      <c r="G9" s="3"/>
      <c r="H9" s="3"/>
      <c r="I9" s="3"/>
      <c r="J9" s="9"/>
    </row>
    <row r="10" spans="1:10" ht="15.6">
      <c r="A10" s="21">
        <v>13</v>
      </c>
      <c r="B10" s="21" t="s">
        <v>26</v>
      </c>
      <c r="C10" s="21" t="s">
        <v>16</v>
      </c>
      <c r="D10" s="3"/>
      <c r="E10" s="3"/>
      <c r="F10" s="3"/>
      <c r="G10" s="3"/>
      <c r="H10" s="3"/>
      <c r="I10" s="3"/>
      <c r="J10" s="9"/>
    </row>
    <row r="11" spans="1:10">
      <c r="A11" s="22"/>
      <c r="B11" s="22"/>
      <c r="C11" s="22">
        <v>0.995</v>
      </c>
      <c r="D11" s="3"/>
      <c r="E11" s="3"/>
      <c r="F11" s="3"/>
      <c r="G11" s="3"/>
      <c r="H11" s="3"/>
      <c r="I11" s="3"/>
      <c r="J11" s="9"/>
    </row>
    <row r="12" spans="1:10" ht="15.6">
      <c r="A12" s="21">
        <v>14</v>
      </c>
      <c r="B12" s="21" t="s">
        <v>27</v>
      </c>
      <c r="C12" s="21" t="s">
        <v>16</v>
      </c>
      <c r="D12" s="3"/>
      <c r="E12" s="3"/>
      <c r="F12" s="3"/>
      <c r="G12" s="3"/>
      <c r="H12" s="3"/>
      <c r="I12" s="3"/>
      <c r="J12" s="9"/>
    </row>
    <row r="13" spans="1:10">
      <c r="A13" s="22"/>
      <c r="B13" s="22"/>
      <c r="C13" s="22">
        <v>0.995</v>
      </c>
      <c r="D13" s="3"/>
      <c r="E13" s="3"/>
      <c r="F13" s="3"/>
      <c r="G13" s="3"/>
      <c r="H13" s="3"/>
      <c r="I13" s="3"/>
      <c r="J13" s="9"/>
    </row>
    <row r="14" spans="1:10">
      <c r="A14" s="6"/>
      <c r="B14" s="3"/>
      <c r="C14" s="3"/>
      <c r="D14" s="3"/>
      <c r="E14" s="3"/>
      <c r="F14" s="3"/>
      <c r="G14" s="3"/>
      <c r="H14" s="3"/>
      <c r="I14" s="3"/>
      <c r="J14" s="9"/>
    </row>
    <row r="15" spans="1:10">
      <c r="A15" s="6"/>
      <c r="B15" s="3"/>
      <c r="C15" s="3"/>
      <c r="D15" s="3"/>
      <c r="E15" s="3"/>
      <c r="F15" s="3"/>
      <c r="G15" s="3"/>
      <c r="H15" s="3"/>
      <c r="I15" s="3"/>
      <c r="J15" s="9"/>
    </row>
    <row r="16" spans="1:10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>
      <c r="A17" s="6"/>
      <c r="B17" s="3"/>
      <c r="C17" s="3"/>
      <c r="D17" s="3"/>
      <c r="E17" s="3"/>
      <c r="F17" s="3"/>
      <c r="G17" s="3"/>
      <c r="H17" s="3"/>
      <c r="I17" s="3"/>
      <c r="J17" s="9"/>
    </row>
    <row r="18" spans="1:10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>
      <c r="A19" s="6"/>
      <c r="B19" s="3"/>
      <c r="C19" s="3"/>
      <c r="D19" s="3"/>
      <c r="E19" s="3"/>
      <c r="F19" s="3"/>
      <c r="G19" s="3"/>
      <c r="H19" s="3"/>
      <c r="I19" s="3"/>
      <c r="J19" s="9"/>
    </row>
    <row r="20" spans="1:10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>
      <c r="A160" s="10"/>
      <c r="B160" s="11"/>
      <c r="C160" s="11"/>
      <c r="D160" s="11"/>
      <c r="E160" s="11"/>
      <c r="F160" s="11"/>
      <c r="G160" s="11"/>
      <c r="H160" s="11"/>
      <c r="I160" s="11"/>
      <c r="J160" s="12"/>
    </row>
  </sheetData>
  <conditionalFormatting sqref="A1">
    <cfRule type="expression" dxfId="30" priority="5">
      <formula>MOD(ROW(),2)=0</formula>
    </cfRule>
  </conditionalFormatting>
  <conditionalFormatting sqref="A10:XFD1048576">
    <cfRule type="expression" dxfId="29" priority="2">
      <formula>MOD(ROW(),2)=0</formula>
    </cfRule>
  </conditionalFormatting>
  <conditionalFormatting sqref="B1 D1:J1">
    <cfRule type="expression" dxfId="28" priority="4">
      <formula>MOD(ROW(),2)=0</formula>
    </cfRule>
  </conditionalFormatting>
  <conditionalFormatting sqref="D5">
    <cfRule type="expression" dxfId="27" priority="1">
      <formula>MOD(ROW(),2)=0</formula>
    </cfRule>
  </conditionalFormatting>
  <conditionalFormatting sqref="G2:XFD9">
    <cfRule type="expression" dxfId="26" priority="3">
      <formula>MOD(ROW(),2)=0</formula>
    </cfRule>
  </conditionalFormatting>
  <conditionalFormatting sqref="K1:XFD1">
    <cfRule type="expression" dxfId="25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81882-7F8A-4F3B-A262-5A2663E27745}">
  <dimension ref="A1:J166"/>
  <sheetViews>
    <sheetView workbookViewId="0">
      <selection activeCell="D23" sqref="D23"/>
    </sheetView>
  </sheetViews>
  <sheetFormatPr defaultColWidth="10.796875" defaultRowHeight="15"/>
  <cols>
    <col min="1" max="1" width="15.796875" style="2" customWidth="1"/>
    <col min="2" max="2" width="16.296875" style="2" customWidth="1"/>
    <col min="3" max="3" width="19.296875" style="2" customWidth="1"/>
    <col min="4" max="4" width="17.296875" style="2" customWidth="1"/>
    <col min="5" max="5" width="12.69921875" style="2" customWidth="1"/>
    <col min="6" max="6" width="13.796875" style="2" customWidth="1"/>
    <col min="7" max="16384" width="10.796875" style="2"/>
  </cols>
  <sheetData>
    <row r="1" spans="1:10" ht="16.2" thickBot="1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5.6">
      <c r="A2" s="19">
        <v>1</v>
      </c>
      <c r="B2" s="19" t="s">
        <v>15</v>
      </c>
      <c r="C2" s="19" t="s">
        <v>16</v>
      </c>
      <c r="D2" s="19"/>
      <c r="E2" s="19"/>
      <c r="F2" s="21"/>
      <c r="G2" s="5"/>
      <c r="H2" s="5"/>
      <c r="I2" s="5"/>
      <c r="J2" s="7"/>
    </row>
    <row r="3" spans="1:10" ht="15.6">
      <c r="A3" s="20"/>
      <c r="B3" s="22"/>
      <c r="C3" s="22">
        <v>0.995</v>
      </c>
      <c r="D3" s="22"/>
      <c r="E3" s="22"/>
      <c r="F3" s="22"/>
      <c r="G3" s="3"/>
      <c r="H3" s="3"/>
      <c r="I3" s="3"/>
      <c r="J3" s="9"/>
    </row>
    <row r="4" spans="1:10" ht="15.6">
      <c r="A4" s="21">
        <v>2</v>
      </c>
      <c r="B4" s="21" t="s">
        <v>0</v>
      </c>
      <c r="C4" s="21" t="s">
        <v>1</v>
      </c>
      <c r="D4" s="21" t="s">
        <v>2</v>
      </c>
      <c r="E4" s="21" t="s">
        <v>3</v>
      </c>
      <c r="F4" s="21" t="s">
        <v>31</v>
      </c>
      <c r="G4" s="3"/>
      <c r="H4" s="3"/>
      <c r="I4" s="3"/>
      <c r="J4" s="9"/>
    </row>
    <row r="5" spans="1:10" ht="15.6">
      <c r="A5" s="20"/>
      <c r="B5" s="22"/>
      <c r="C5" s="22">
        <v>5433</v>
      </c>
      <c r="D5" s="38">
        <v>2.56</v>
      </c>
      <c r="E5" s="22">
        <v>0.02</v>
      </c>
      <c r="F5">
        <v>0.05</v>
      </c>
      <c r="G5" s="3"/>
      <c r="H5" s="3"/>
      <c r="I5" s="3"/>
      <c r="J5" s="9"/>
    </row>
    <row r="6" spans="1:10" ht="15.6">
      <c r="A6" s="21">
        <v>3</v>
      </c>
      <c r="B6" s="21" t="s">
        <v>38</v>
      </c>
      <c r="C6" s="21" t="s">
        <v>8</v>
      </c>
      <c r="D6" s="21" t="s">
        <v>9</v>
      </c>
      <c r="E6" s="21" t="s">
        <v>6</v>
      </c>
      <c r="F6" s="21" t="s">
        <v>7</v>
      </c>
      <c r="G6" s="3" t="s">
        <v>32</v>
      </c>
      <c r="H6" s="3"/>
      <c r="I6" s="3"/>
      <c r="J6" s="9"/>
    </row>
    <row r="7" spans="1:10" ht="16.8">
      <c r="A7" s="20"/>
      <c r="B7" s="22"/>
      <c r="C7" s="22">
        <v>5433</v>
      </c>
      <c r="D7" s="22">
        <v>22000</v>
      </c>
      <c r="E7" s="25">
        <v>0.217</v>
      </c>
      <c r="F7" s="25">
        <v>0.63</v>
      </c>
      <c r="G7" s="3">
        <v>0</v>
      </c>
      <c r="H7" s="3"/>
      <c r="I7" s="3"/>
      <c r="J7" s="9"/>
    </row>
    <row r="8" spans="1:10" ht="15.6">
      <c r="A8" s="21">
        <v>4</v>
      </c>
      <c r="B8" s="21" t="s">
        <v>39</v>
      </c>
      <c r="C8" s="21" t="s">
        <v>5</v>
      </c>
      <c r="D8" s="21" t="s">
        <v>17</v>
      </c>
      <c r="E8" s="21" t="s">
        <v>11</v>
      </c>
      <c r="F8" s="21" t="s">
        <v>33</v>
      </c>
      <c r="G8" s="3"/>
      <c r="H8" s="3"/>
      <c r="I8" s="3"/>
      <c r="J8" s="9"/>
    </row>
    <row r="9" spans="1:10" ht="15.6">
      <c r="A9" s="20"/>
      <c r="B9" s="22"/>
      <c r="C9" s="22">
        <f>D7</f>
        <v>22000</v>
      </c>
      <c r="D9" s="22">
        <v>120</v>
      </c>
      <c r="E9" s="22">
        <f>F7</f>
        <v>0.63</v>
      </c>
      <c r="F9" s="22">
        <v>0</v>
      </c>
      <c r="G9" s="3"/>
      <c r="H9" s="3"/>
      <c r="I9" s="3"/>
      <c r="J9" s="9"/>
    </row>
    <row r="10" spans="1:10" ht="15.6">
      <c r="A10" s="21">
        <v>13</v>
      </c>
      <c r="B10" s="21" t="s">
        <v>26</v>
      </c>
      <c r="C10" s="21" t="s">
        <v>16</v>
      </c>
      <c r="D10" s="3"/>
      <c r="E10" s="3"/>
      <c r="F10" s="3"/>
      <c r="G10" s="3"/>
      <c r="H10" s="3"/>
      <c r="I10" s="3"/>
      <c r="J10" s="9"/>
    </row>
    <row r="11" spans="1:10">
      <c r="A11" s="22"/>
      <c r="B11" s="22"/>
      <c r="C11" s="22">
        <v>0.995</v>
      </c>
      <c r="D11" s="3"/>
      <c r="E11" s="3"/>
      <c r="F11" s="3"/>
      <c r="G11" s="3"/>
      <c r="H11" s="3"/>
      <c r="I11" s="3"/>
      <c r="J11" s="9"/>
    </row>
    <row r="12" spans="1:10" ht="15.6">
      <c r="A12" s="21">
        <v>14</v>
      </c>
      <c r="B12" s="21" t="s">
        <v>27</v>
      </c>
      <c r="C12" s="21" t="s">
        <v>16</v>
      </c>
      <c r="D12" s="3"/>
      <c r="E12" s="3"/>
      <c r="F12" s="3"/>
      <c r="G12" s="3"/>
      <c r="H12" s="3"/>
      <c r="I12" s="3"/>
      <c r="J12" s="9"/>
    </row>
    <row r="13" spans="1:10">
      <c r="A13" s="22"/>
      <c r="B13" s="22"/>
      <c r="C13" s="22">
        <v>0.995</v>
      </c>
      <c r="D13" s="3"/>
      <c r="E13" s="3"/>
      <c r="F13" s="3"/>
      <c r="G13" s="3"/>
      <c r="H13" s="3"/>
      <c r="I13" s="3"/>
      <c r="J13" s="9"/>
    </row>
    <row r="14" spans="1:10">
      <c r="A14" s="6"/>
      <c r="B14" s="3"/>
      <c r="C14" s="3"/>
      <c r="D14" s="3"/>
      <c r="E14" s="3"/>
      <c r="F14" s="3"/>
      <c r="G14" s="3"/>
      <c r="H14" s="3"/>
      <c r="I14" s="3"/>
      <c r="J14" s="9"/>
    </row>
    <row r="15" spans="1:10">
      <c r="A15" s="6"/>
      <c r="B15" s="3"/>
      <c r="C15" s="3"/>
      <c r="D15" s="3"/>
      <c r="E15" s="3"/>
      <c r="F15" s="3"/>
      <c r="G15" s="3"/>
      <c r="H15" s="3"/>
      <c r="I15" s="3"/>
      <c r="J15" s="9"/>
    </row>
    <row r="16" spans="1:10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>
      <c r="A17" s="6"/>
      <c r="B17" s="3"/>
      <c r="C17" s="3"/>
      <c r="D17" s="3"/>
      <c r="E17" s="3"/>
      <c r="F17" s="3"/>
      <c r="G17" s="3"/>
      <c r="H17" s="3"/>
      <c r="I17" s="3"/>
      <c r="J17" s="9"/>
    </row>
    <row r="18" spans="1:10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>
      <c r="A19" s="6"/>
      <c r="B19" s="3"/>
      <c r="C19" s="3"/>
      <c r="D19" s="3"/>
      <c r="E19" s="3"/>
      <c r="F19" s="3"/>
      <c r="G19" s="3"/>
      <c r="H19" s="3"/>
      <c r="I19" s="3"/>
      <c r="J19" s="9"/>
    </row>
    <row r="20" spans="1:10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>
      <c r="A160" s="10"/>
      <c r="B160" s="11"/>
      <c r="C160" s="11"/>
      <c r="D160" s="11"/>
      <c r="E160" s="11"/>
      <c r="F160" s="11"/>
      <c r="G160" s="11"/>
      <c r="H160" s="11"/>
      <c r="I160" s="11"/>
      <c r="J160" s="12"/>
    </row>
    <row r="161" s="2" customFormat="1"/>
    <row r="162" s="2" customFormat="1"/>
    <row r="163" s="2" customFormat="1"/>
    <row r="164" s="2" customFormat="1"/>
    <row r="165" s="2" customFormat="1"/>
    <row r="166" s="2" customFormat="1"/>
  </sheetData>
  <conditionalFormatting sqref="A1">
    <cfRule type="expression" dxfId="24" priority="5">
      <formula>MOD(ROW(),2)=0</formula>
    </cfRule>
  </conditionalFormatting>
  <conditionalFormatting sqref="A10:XFD1048576">
    <cfRule type="expression" dxfId="23" priority="2">
      <formula>MOD(ROW(),2)=0</formula>
    </cfRule>
  </conditionalFormatting>
  <conditionalFormatting sqref="B1 D1:J1">
    <cfRule type="expression" dxfId="22" priority="4">
      <formula>MOD(ROW(),2)=0</formula>
    </cfRule>
  </conditionalFormatting>
  <conditionalFormatting sqref="D5">
    <cfRule type="expression" dxfId="21" priority="1">
      <formula>MOD(ROW(),2)=0</formula>
    </cfRule>
  </conditionalFormatting>
  <conditionalFormatting sqref="G2:XFD9">
    <cfRule type="expression" dxfId="20" priority="3">
      <formula>MOD(ROW(),2)=0</formula>
    </cfRule>
  </conditionalFormatting>
  <conditionalFormatting sqref="K1:XFD1">
    <cfRule type="expression" dxfId="19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D9CF8-F8FB-490B-B7BC-DC4863B1832F}">
  <dimension ref="A1:J160"/>
  <sheetViews>
    <sheetView workbookViewId="0">
      <selection activeCell="D14" sqref="D14"/>
    </sheetView>
  </sheetViews>
  <sheetFormatPr defaultColWidth="10.796875" defaultRowHeight="15"/>
  <cols>
    <col min="1" max="1" width="15.796875" style="2" customWidth="1"/>
    <col min="2" max="2" width="16.296875" style="2" customWidth="1"/>
    <col min="3" max="3" width="19.296875" style="2" customWidth="1"/>
    <col min="4" max="4" width="17.296875" style="2" customWidth="1"/>
    <col min="5" max="5" width="12.69921875" style="2" customWidth="1"/>
    <col min="6" max="6" width="13.796875" style="2" customWidth="1"/>
    <col min="7" max="16384" width="10.796875" style="2"/>
  </cols>
  <sheetData>
    <row r="1" spans="1:10" ht="16.2" thickBot="1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5.6">
      <c r="A2" s="19">
        <v>1</v>
      </c>
      <c r="B2" s="19" t="s">
        <v>15</v>
      </c>
      <c r="C2" s="19" t="s">
        <v>16</v>
      </c>
      <c r="D2" s="19"/>
      <c r="E2" s="19"/>
      <c r="F2" s="21"/>
      <c r="G2" s="5"/>
      <c r="H2" s="5"/>
      <c r="I2" s="5"/>
      <c r="J2" s="7"/>
    </row>
    <row r="3" spans="1:10" ht="15.6">
      <c r="A3" s="20"/>
      <c r="B3" s="22"/>
      <c r="C3" s="22">
        <v>0.995</v>
      </c>
      <c r="D3" s="22"/>
      <c r="E3" s="22"/>
      <c r="F3" s="22"/>
      <c r="G3" s="3"/>
      <c r="H3" s="3"/>
      <c r="I3" s="3"/>
      <c r="J3" s="9"/>
    </row>
    <row r="4" spans="1:10" ht="15.6">
      <c r="A4" s="21">
        <v>2</v>
      </c>
      <c r="B4" s="21" t="s">
        <v>0</v>
      </c>
      <c r="C4" s="21" t="s">
        <v>1</v>
      </c>
      <c r="D4" s="21" t="s">
        <v>2</v>
      </c>
      <c r="E4" s="21" t="s">
        <v>3</v>
      </c>
      <c r="F4" s="21" t="s">
        <v>31</v>
      </c>
      <c r="G4" s="3"/>
      <c r="H4" s="3"/>
      <c r="I4" s="3"/>
      <c r="J4" s="9"/>
    </row>
    <row r="5" spans="1:10" ht="15.6">
      <c r="A5" s="20"/>
      <c r="B5" s="22"/>
      <c r="C5" s="22">
        <v>7815</v>
      </c>
      <c r="D5" s="38">
        <v>2.56</v>
      </c>
      <c r="E5" s="22">
        <v>0.02</v>
      </c>
      <c r="F5">
        <v>0.05</v>
      </c>
      <c r="G5" s="3"/>
      <c r="H5" s="3"/>
      <c r="I5" s="3"/>
      <c r="J5" s="9"/>
    </row>
    <row r="6" spans="1:10" ht="15.6">
      <c r="A6" s="21">
        <v>3</v>
      </c>
      <c r="B6" s="21" t="s">
        <v>38</v>
      </c>
      <c r="C6" s="21" t="s">
        <v>8</v>
      </c>
      <c r="D6" s="21" t="s">
        <v>9</v>
      </c>
      <c r="E6" s="21" t="s">
        <v>6</v>
      </c>
      <c r="F6" s="21" t="s">
        <v>7</v>
      </c>
      <c r="G6" s="3" t="s">
        <v>32</v>
      </c>
      <c r="H6" s="3"/>
      <c r="I6" s="3"/>
      <c r="J6" s="9"/>
    </row>
    <row r="7" spans="1:10" ht="16.8">
      <c r="A7" s="20"/>
      <c r="B7" s="22"/>
      <c r="C7" s="22">
        <v>7815</v>
      </c>
      <c r="D7" s="22">
        <v>33000</v>
      </c>
      <c r="E7" s="25">
        <v>0.217</v>
      </c>
      <c r="F7" s="25">
        <v>0.63</v>
      </c>
      <c r="G7" s="3">
        <v>0</v>
      </c>
      <c r="H7" s="3"/>
      <c r="I7" s="3"/>
      <c r="J7" s="9"/>
    </row>
    <row r="8" spans="1:10" ht="15.6">
      <c r="A8" s="21">
        <v>4</v>
      </c>
      <c r="B8" s="21" t="s">
        <v>39</v>
      </c>
      <c r="C8" s="21" t="s">
        <v>5</v>
      </c>
      <c r="D8" s="21" t="s">
        <v>17</v>
      </c>
      <c r="E8" s="21" t="s">
        <v>11</v>
      </c>
      <c r="F8" s="21" t="s">
        <v>33</v>
      </c>
      <c r="G8" s="3"/>
      <c r="H8" s="3"/>
      <c r="I8" s="3"/>
      <c r="J8" s="9"/>
    </row>
    <row r="9" spans="1:10" ht="15.6">
      <c r="A9" s="20"/>
      <c r="B9" s="22"/>
      <c r="C9" s="22">
        <f>D7</f>
        <v>33000</v>
      </c>
      <c r="D9" s="22">
        <v>800</v>
      </c>
      <c r="E9" s="22">
        <v>0.76</v>
      </c>
      <c r="F9" s="22">
        <v>0</v>
      </c>
      <c r="G9" s="3"/>
      <c r="H9" s="3"/>
      <c r="I9" s="3"/>
      <c r="J9" s="9"/>
    </row>
    <row r="10" spans="1:10" ht="15.6">
      <c r="A10" s="21">
        <v>13</v>
      </c>
      <c r="B10" s="21" t="s">
        <v>26</v>
      </c>
      <c r="C10" s="21" t="s">
        <v>16</v>
      </c>
      <c r="D10" s="3"/>
      <c r="E10" s="3"/>
      <c r="F10" s="3"/>
      <c r="G10" s="3"/>
      <c r="H10" s="3"/>
      <c r="I10" s="3"/>
      <c r="J10" s="9"/>
    </row>
    <row r="11" spans="1:10">
      <c r="A11" s="22"/>
      <c r="B11" s="22"/>
      <c r="C11" s="22">
        <v>0.995</v>
      </c>
      <c r="D11" s="3"/>
      <c r="E11" s="3"/>
      <c r="F11" s="3"/>
      <c r="G11" s="3"/>
      <c r="H11" s="3"/>
      <c r="I11" s="3"/>
      <c r="J11" s="9"/>
    </row>
    <row r="12" spans="1:10" ht="15.6">
      <c r="A12" s="21">
        <v>14</v>
      </c>
      <c r="B12" s="21" t="s">
        <v>27</v>
      </c>
      <c r="C12" s="21" t="s">
        <v>16</v>
      </c>
      <c r="D12" s="3"/>
      <c r="E12" s="3"/>
      <c r="F12" s="3"/>
      <c r="G12" s="3"/>
      <c r="H12" s="3"/>
      <c r="I12" s="3"/>
      <c r="J12" s="9"/>
    </row>
    <row r="13" spans="1:10">
      <c r="A13" s="22"/>
      <c r="B13" s="22"/>
      <c r="C13" s="22">
        <v>0.995</v>
      </c>
      <c r="D13" s="3"/>
      <c r="E13" s="3"/>
      <c r="F13" s="3"/>
      <c r="G13" s="3"/>
      <c r="H13" s="3"/>
      <c r="I13" s="3"/>
      <c r="J13" s="9"/>
    </row>
    <row r="14" spans="1:10">
      <c r="A14" s="6"/>
      <c r="B14" s="3"/>
      <c r="C14" s="3"/>
      <c r="D14" s="3"/>
      <c r="E14" s="3"/>
      <c r="F14" s="3"/>
      <c r="G14" s="3"/>
      <c r="H14" s="3"/>
      <c r="I14" s="3"/>
      <c r="J14" s="9"/>
    </row>
    <row r="15" spans="1:10">
      <c r="A15" s="6"/>
      <c r="B15" s="3"/>
      <c r="C15" s="3"/>
      <c r="D15" s="3"/>
      <c r="E15" s="3"/>
      <c r="F15" s="3"/>
      <c r="G15" s="3"/>
      <c r="H15" s="3"/>
      <c r="I15" s="3"/>
      <c r="J15" s="9"/>
    </row>
    <row r="16" spans="1:10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>
      <c r="A17" s="6"/>
      <c r="B17" s="3"/>
      <c r="C17" s="3"/>
      <c r="D17" s="3"/>
      <c r="E17" s="3"/>
      <c r="F17" s="3"/>
      <c r="G17" s="3"/>
      <c r="H17" s="3"/>
      <c r="I17" s="3"/>
      <c r="J17" s="9"/>
    </row>
    <row r="18" spans="1:10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>
      <c r="A19" s="6"/>
      <c r="B19" s="3"/>
      <c r="C19" s="3"/>
      <c r="D19" s="3"/>
      <c r="E19" s="3"/>
      <c r="F19" s="3"/>
      <c r="G19" s="3"/>
      <c r="H19" s="3"/>
      <c r="I19" s="3"/>
      <c r="J19" s="9"/>
    </row>
    <row r="20" spans="1:10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>
      <c r="A160" s="10"/>
      <c r="B160" s="11"/>
      <c r="C160" s="11"/>
      <c r="D160" s="11"/>
      <c r="E160" s="11"/>
      <c r="F160" s="11"/>
      <c r="G160" s="11"/>
      <c r="H160" s="11"/>
      <c r="I160" s="11"/>
      <c r="J160" s="12"/>
    </row>
  </sheetData>
  <conditionalFormatting sqref="A1">
    <cfRule type="expression" dxfId="18" priority="5">
      <formula>MOD(ROW(),2)=0</formula>
    </cfRule>
  </conditionalFormatting>
  <conditionalFormatting sqref="A10:XFD1048576">
    <cfRule type="expression" dxfId="17" priority="2">
      <formula>MOD(ROW(),2)=0</formula>
    </cfRule>
  </conditionalFormatting>
  <conditionalFormatting sqref="B1 D1:J1">
    <cfRule type="expression" dxfId="16" priority="4">
      <formula>MOD(ROW(),2)=0</formula>
    </cfRule>
  </conditionalFormatting>
  <conditionalFormatting sqref="D5">
    <cfRule type="expression" dxfId="15" priority="1">
      <formula>MOD(ROW(),2)=0</formula>
    </cfRule>
  </conditionalFormatting>
  <conditionalFormatting sqref="G2:XFD9">
    <cfRule type="expression" dxfId="14" priority="3">
      <formula>MOD(ROW(),2)=0</formula>
    </cfRule>
  </conditionalFormatting>
  <conditionalFormatting sqref="K1:XFD1">
    <cfRule type="expression" dxfId="13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73AE6-1256-498E-8560-A623A56B8997}">
  <dimension ref="A1:J166"/>
  <sheetViews>
    <sheetView workbookViewId="0">
      <selection activeCell="E20" sqref="E20"/>
    </sheetView>
  </sheetViews>
  <sheetFormatPr defaultColWidth="10.796875" defaultRowHeight="15"/>
  <cols>
    <col min="1" max="1" width="15.796875" style="2" customWidth="1"/>
    <col min="2" max="2" width="16.296875" style="2" customWidth="1"/>
    <col min="3" max="3" width="19.296875" style="2" customWidth="1"/>
    <col min="4" max="4" width="17.296875" style="2" customWidth="1"/>
    <col min="5" max="5" width="12.69921875" style="2" customWidth="1"/>
    <col min="6" max="6" width="13.796875" style="2" customWidth="1"/>
    <col min="7" max="16384" width="10.796875" style="2"/>
  </cols>
  <sheetData>
    <row r="1" spans="1:10" ht="16.2" thickBot="1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5.6">
      <c r="A2" s="19">
        <v>1</v>
      </c>
      <c r="B2" s="19" t="s">
        <v>15</v>
      </c>
      <c r="C2" s="19" t="s">
        <v>16</v>
      </c>
      <c r="D2" s="19"/>
      <c r="E2" s="19"/>
      <c r="F2" s="21"/>
      <c r="G2" s="5"/>
      <c r="H2" s="5"/>
      <c r="I2" s="5"/>
      <c r="J2" s="7"/>
    </row>
    <row r="3" spans="1:10" ht="15.6">
      <c r="A3" s="20"/>
      <c r="B3" s="22"/>
      <c r="C3" s="22">
        <v>0.995</v>
      </c>
      <c r="D3" s="22"/>
      <c r="E3" s="22"/>
      <c r="F3" s="22"/>
      <c r="G3" s="3"/>
      <c r="H3" s="3"/>
      <c r="I3" s="3"/>
      <c r="J3" s="9"/>
    </row>
    <row r="4" spans="1:10" ht="15.6">
      <c r="A4" s="21">
        <v>2</v>
      </c>
      <c r="B4" s="21" t="s">
        <v>0</v>
      </c>
      <c r="C4" s="21" t="s">
        <v>1</v>
      </c>
      <c r="D4" s="21" t="s">
        <v>2</v>
      </c>
      <c r="E4" s="21" t="s">
        <v>3</v>
      </c>
      <c r="F4" s="21" t="s">
        <v>31</v>
      </c>
      <c r="G4" s="3"/>
      <c r="H4" s="3"/>
      <c r="I4" s="3"/>
      <c r="J4" s="9"/>
    </row>
    <row r="5" spans="1:10" ht="15.6">
      <c r="A5" s="20"/>
      <c r="B5" s="22"/>
      <c r="C5" s="22">
        <v>5594</v>
      </c>
      <c r="D5" s="38">
        <v>2.56</v>
      </c>
      <c r="E5" s="22">
        <v>0.02</v>
      </c>
      <c r="F5">
        <v>0.05</v>
      </c>
      <c r="G5" s="3"/>
      <c r="H5" s="3"/>
      <c r="I5" s="3"/>
      <c r="J5" s="9"/>
    </row>
    <row r="6" spans="1:10" ht="15.6">
      <c r="A6" s="21">
        <v>3</v>
      </c>
      <c r="B6" s="21" t="s">
        <v>38</v>
      </c>
      <c r="C6" s="21" t="s">
        <v>8</v>
      </c>
      <c r="D6" s="21" t="s">
        <v>9</v>
      </c>
      <c r="E6" s="21" t="s">
        <v>6</v>
      </c>
      <c r="F6" s="21" t="s">
        <v>7</v>
      </c>
      <c r="G6" s="3" t="s">
        <v>32</v>
      </c>
      <c r="H6" s="3"/>
      <c r="I6" s="3"/>
      <c r="J6" s="9"/>
    </row>
    <row r="7" spans="1:10" ht="16.8">
      <c r="A7" s="20"/>
      <c r="B7" s="22"/>
      <c r="C7" s="22">
        <v>5594</v>
      </c>
      <c r="D7" s="22">
        <v>33000</v>
      </c>
      <c r="E7" s="25">
        <v>0.217</v>
      </c>
      <c r="F7" s="25">
        <v>0.63</v>
      </c>
      <c r="G7" s="3">
        <v>0</v>
      </c>
      <c r="H7" s="3"/>
      <c r="I7" s="3"/>
      <c r="J7" s="9"/>
    </row>
    <row r="8" spans="1:10" ht="15.6">
      <c r="A8" s="21">
        <v>4</v>
      </c>
      <c r="B8" s="21" t="s">
        <v>39</v>
      </c>
      <c r="C8" s="21" t="s">
        <v>5</v>
      </c>
      <c r="D8" s="21" t="s">
        <v>17</v>
      </c>
      <c r="E8" s="21" t="s">
        <v>11</v>
      </c>
      <c r="F8" s="21" t="s">
        <v>33</v>
      </c>
      <c r="G8" s="3"/>
      <c r="H8" s="3"/>
      <c r="I8" s="3"/>
      <c r="J8" s="9"/>
    </row>
    <row r="9" spans="1:10" ht="15.6">
      <c r="A9" s="20"/>
      <c r="B9" s="22"/>
      <c r="C9" s="22">
        <f>D7</f>
        <v>33000</v>
      </c>
      <c r="D9" s="22">
        <v>800</v>
      </c>
      <c r="E9" s="22">
        <v>0.76</v>
      </c>
      <c r="F9" s="22">
        <v>0</v>
      </c>
      <c r="G9" s="3"/>
      <c r="H9" s="3"/>
      <c r="I9" s="3"/>
      <c r="J9" s="9"/>
    </row>
    <row r="10" spans="1:10" ht="15.6">
      <c r="A10" s="21">
        <v>13</v>
      </c>
      <c r="B10" s="21" t="s">
        <v>26</v>
      </c>
      <c r="C10" s="21" t="s">
        <v>16</v>
      </c>
      <c r="D10" s="3"/>
      <c r="E10" s="3"/>
      <c r="F10" s="3"/>
      <c r="G10" s="3"/>
      <c r="H10" s="3"/>
      <c r="I10" s="3"/>
      <c r="J10" s="9"/>
    </row>
    <row r="11" spans="1:10">
      <c r="A11" s="22"/>
      <c r="B11" s="22"/>
      <c r="C11" s="22">
        <v>0.995</v>
      </c>
      <c r="D11" s="3"/>
      <c r="E11" s="3"/>
      <c r="F11" s="3"/>
      <c r="G11" s="3"/>
      <c r="H11" s="3"/>
      <c r="I11" s="3"/>
      <c r="J11" s="9"/>
    </row>
    <row r="12" spans="1:10" ht="15.6">
      <c r="A12" s="21">
        <v>14</v>
      </c>
      <c r="B12" s="21" t="s">
        <v>27</v>
      </c>
      <c r="C12" s="21" t="s">
        <v>16</v>
      </c>
      <c r="D12" s="3"/>
      <c r="E12" s="3"/>
      <c r="F12" s="3"/>
      <c r="G12" s="3"/>
      <c r="H12" s="3"/>
      <c r="I12" s="3"/>
      <c r="J12" s="9"/>
    </row>
    <row r="13" spans="1:10">
      <c r="A13" s="22"/>
      <c r="B13" s="22"/>
      <c r="C13" s="22">
        <v>0.995</v>
      </c>
      <c r="D13" s="3"/>
      <c r="E13" s="3"/>
      <c r="F13" s="3"/>
      <c r="G13" s="3"/>
      <c r="H13" s="3"/>
      <c r="I13" s="3"/>
      <c r="J13" s="9"/>
    </row>
    <row r="14" spans="1:10">
      <c r="A14" s="6"/>
      <c r="B14" s="3"/>
      <c r="C14" s="3"/>
      <c r="D14" s="3"/>
      <c r="E14" s="3"/>
      <c r="F14" s="3"/>
      <c r="G14" s="3"/>
      <c r="H14" s="3"/>
      <c r="I14" s="3"/>
      <c r="J14" s="9"/>
    </row>
    <row r="15" spans="1:10">
      <c r="A15" s="6"/>
      <c r="B15" s="3"/>
      <c r="C15" s="3"/>
      <c r="D15" s="3"/>
      <c r="E15" s="3"/>
      <c r="F15" s="3"/>
      <c r="G15" s="3"/>
      <c r="H15" s="3"/>
      <c r="I15" s="3"/>
      <c r="J15" s="9"/>
    </row>
    <row r="16" spans="1:10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>
      <c r="A17" s="6"/>
      <c r="B17" s="3"/>
      <c r="C17" s="3"/>
      <c r="D17" s="3"/>
      <c r="E17" s="3"/>
      <c r="F17" s="3"/>
      <c r="G17" s="3"/>
      <c r="H17" s="3"/>
      <c r="I17" s="3"/>
      <c r="J17" s="9"/>
    </row>
    <row r="18" spans="1:10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>
      <c r="A19" s="6"/>
      <c r="B19" s="3"/>
      <c r="C19" s="3"/>
      <c r="D19" s="3"/>
      <c r="E19" s="3"/>
      <c r="F19" s="3"/>
      <c r="G19" s="3"/>
      <c r="H19" s="3"/>
      <c r="I19" s="3"/>
      <c r="J19" s="9"/>
    </row>
    <row r="20" spans="1:10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>
      <c r="A160" s="10"/>
      <c r="B160" s="11"/>
      <c r="C160" s="11"/>
      <c r="D160" s="11"/>
      <c r="E160" s="11"/>
      <c r="F160" s="11"/>
      <c r="G160" s="11"/>
      <c r="H160" s="11"/>
      <c r="I160" s="11"/>
      <c r="J160" s="12"/>
    </row>
    <row r="161" s="2" customFormat="1"/>
    <row r="162" s="2" customFormat="1"/>
    <row r="163" s="2" customFormat="1"/>
    <row r="164" s="2" customFormat="1"/>
    <row r="165" s="2" customFormat="1"/>
    <row r="166" s="2" customFormat="1"/>
  </sheetData>
  <conditionalFormatting sqref="A1">
    <cfRule type="expression" dxfId="12" priority="5">
      <formula>MOD(ROW(),2)=0</formula>
    </cfRule>
  </conditionalFormatting>
  <conditionalFormatting sqref="A10:XFD1048576">
    <cfRule type="expression" dxfId="11" priority="2">
      <formula>MOD(ROW(),2)=0</formula>
    </cfRule>
  </conditionalFormatting>
  <conditionalFormatting sqref="B1 D1:J1">
    <cfRule type="expression" dxfId="10" priority="4">
      <formula>MOD(ROW(),2)=0</formula>
    </cfRule>
  </conditionalFormatting>
  <conditionalFormatting sqref="D5">
    <cfRule type="expression" dxfId="9" priority="1">
      <formula>MOD(ROW(),2)=0</formula>
    </cfRule>
  </conditionalFormatting>
  <conditionalFormatting sqref="G2:XFD9">
    <cfRule type="expression" dxfId="8" priority="3">
      <formula>MOD(ROW(),2)=0</formula>
    </cfRule>
  </conditionalFormatting>
  <conditionalFormatting sqref="K1:XFD1">
    <cfRule type="expression" dxfId="7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7AD70-AEDB-49E7-812A-3DF280E6A32E}">
  <dimension ref="A1:J182"/>
  <sheetViews>
    <sheetView workbookViewId="0">
      <selection activeCell="S23" sqref="S23"/>
    </sheetView>
  </sheetViews>
  <sheetFormatPr defaultRowHeight="15.6"/>
  <cols>
    <col min="1" max="1" width="10.8984375" bestFit="1" customWidth="1"/>
    <col min="2" max="2" width="14.59765625" bestFit="1" customWidth="1"/>
    <col min="3" max="3" width="16.796875" bestFit="1" customWidth="1"/>
    <col min="4" max="4" width="15.8984375" bestFit="1" customWidth="1"/>
    <col min="5" max="5" width="13.19921875" bestFit="1" customWidth="1"/>
    <col min="6" max="6" width="12" bestFit="1" customWidth="1"/>
    <col min="7" max="7" width="11.19921875" bestFit="1" customWidth="1"/>
    <col min="8" max="10" width="7.3984375" bestFit="1" customWidth="1"/>
  </cols>
  <sheetData>
    <row r="1" spans="1:10" ht="16.2" thickBot="1">
      <c r="A1" s="26" t="s">
        <v>30</v>
      </c>
      <c r="B1" s="26" t="s">
        <v>14</v>
      </c>
      <c r="C1" s="26" t="s">
        <v>18</v>
      </c>
      <c r="D1" s="26" t="s">
        <v>19</v>
      </c>
      <c r="E1" s="26" t="s">
        <v>20</v>
      </c>
      <c r="F1" s="26" t="s">
        <v>21</v>
      </c>
      <c r="G1" s="26" t="s">
        <v>22</v>
      </c>
      <c r="H1" s="26" t="s">
        <v>23</v>
      </c>
      <c r="I1" s="26" t="s">
        <v>24</v>
      </c>
      <c r="J1" s="26" t="s">
        <v>25</v>
      </c>
    </row>
    <row r="2" spans="1:10">
      <c r="A2" s="27">
        <v>1</v>
      </c>
      <c r="B2" s="27" t="s">
        <v>15</v>
      </c>
      <c r="C2" s="27" t="s">
        <v>16</v>
      </c>
      <c r="D2" s="27"/>
      <c r="E2" s="27"/>
      <c r="F2" s="28"/>
      <c r="G2" s="29"/>
      <c r="H2" s="29"/>
      <c r="I2" s="29"/>
      <c r="J2" s="30"/>
    </row>
    <row r="3" spans="1:10">
      <c r="A3" s="31"/>
      <c r="B3" s="32"/>
      <c r="C3" s="32">
        <v>0.995</v>
      </c>
      <c r="D3" s="32"/>
      <c r="E3" s="32"/>
      <c r="F3" s="32"/>
      <c r="G3" s="3"/>
      <c r="H3" s="3"/>
      <c r="I3" s="3"/>
      <c r="J3" s="9"/>
    </row>
    <row r="4" spans="1:10">
      <c r="A4" s="28">
        <v>2</v>
      </c>
      <c r="B4" s="28" t="s">
        <v>0</v>
      </c>
      <c r="C4" s="28" t="s">
        <v>1</v>
      </c>
      <c r="D4" s="28" t="s">
        <v>2</v>
      </c>
      <c r="E4" s="28" t="s">
        <v>3</v>
      </c>
      <c r="F4" s="28" t="s">
        <v>31</v>
      </c>
      <c r="G4" s="14"/>
      <c r="H4" s="14"/>
      <c r="I4" s="14"/>
      <c r="J4" s="33"/>
    </row>
    <row r="5" spans="1:10">
      <c r="A5" s="31"/>
      <c r="B5" s="32"/>
      <c r="C5" s="32">
        <v>0</v>
      </c>
      <c r="D5" s="32">
        <v>2</v>
      </c>
      <c r="E5" s="32">
        <v>0.02</v>
      </c>
      <c r="F5" s="32">
        <v>6.0000000000000001E-3</v>
      </c>
      <c r="G5" s="3"/>
      <c r="H5" s="3"/>
      <c r="I5" s="3"/>
      <c r="J5" s="9"/>
    </row>
    <row r="6" spans="1:10">
      <c r="A6" s="28">
        <v>3</v>
      </c>
      <c r="B6" s="28" t="s">
        <v>4</v>
      </c>
      <c r="C6" s="28" t="s">
        <v>8</v>
      </c>
      <c r="D6" s="28" t="s">
        <v>9</v>
      </c>
      <c r="E6" s="28" t="s">
        <v>6</v>
      </c>
      <c r="F6" s="28" t="s">
        <v>7</v>
      </c>
      <c r="G6" s="14" t="s">
        <v>32</v>
      </c>
      <c r="H6" s="14"/>
      <c r="I6" s="14"/>
      <c r="J6" s="33"/>
    </row>
    <row r="7" spans="1:10">
      <c r="A7" s="31"/>
      <c r="B7" s="32"/>
      <c r="C7" s="32">
        <v>0</v>
      </c>
      <c r="D7" s="32">
        <v>5000</v>
      </c>
      <c r="E7" s="32">
        <v>0.1</v>
      </c>
      <c r="F7" s="32">
        <v>0.25</v>
      </c>
      <c r="G7" s="3">
        <v>0</v>
      </c>
      <c r="H7" s="3"/>
      <c r="I7" s="3"/>
      <c r="J7" s="9"/>
    </row>
    <row r="8" spans="1:10">
      <c r="A8" s="28">
        <v>4</v>
      </c>
      <c r="B8" s="28" t="s">
        <v>4</v>
      </c>
      <c r="C8" s="28" t="s">
        <v>8</v>
      </c>
      <c r="D8" s="28" t="s">
        <v>9</v>
      </c>
      <c r="E8" s="28" t="s">
        <v>6</v>
      </c>
      <c r="F8" s="28" t="s">
        <v>7</v>
      </c>
      <c r="G8" s="14" t="s">
        <v>32</v>
      </c>
      <c r="H8" s="14"/>
      <c r="I8" s="14"/>
      <c r="J8" s="33"/>
    </row>
    <row r="9" spans="1:10">
      <c r="A9" s="31"/>
      <c r="B9" s="32"/>
      <c r="C9" s="32">
        <v>5000</v>
      </c>
      <c r="D9" s="32">
        <v>15000</v>
      </c>
      <c r="E9" s="32">
        <v>0.25</v>
      </c>
      <c r="F9" s="32">
        <v>0.54</v>
      </c>
      <c r="G9" s="3">
        <v>0</v>
      </c>
      <c r="H9" s="3"/>
      <c r="I9" s="3"/>
      <c r="J9" s="9"/>
    </row>
    <row r="10" spans="1:10">
      <c r="A10" s="28">
        <v>5</v>
      </c>
      <c r="B10" s="28" t="s">
        <v>4</v>
      </c>
      <c r="C10" s="28" t="s">
        <v>8</v>
      </c>
      <c r="D10" s="28" t="s">
        <v>9</v>
      </c>
      <c r="E10" s="28" t="s">
        <v>6</v>
      </c>
      <c r="F10" s="28" t="s">
        <v>7</v>
      </c>
      <c r="G10" s="14" t="s">
        <v>32</v>
      </c>
      <c r="H10" s="14"/>
      <c r="I10" s="14"/>
      <c r="J10" s="33"/>
    </row>
    <row r="11" spans="1:10">
      <c r="A11" s="31"/>
      <c r="B11" s="32"/>
      <c r="C11" s="32">
        <v>15000</v>
      </c>
      <c r="D11" s="32">
        <v>27000</v>
      </c>
      <c r="E11" s="32">
        <v>0.54</v>
      </c>
      <c r="F11" s="32">
        <v>0.61</v>
      </c>
      <c r="G11" s="3">
        <v>0</v>
      </c>
      <c r="H11" s="3"/>
      <c r="I11" s="3"/>
      <c r="J11" s="9"/>
    </row>
    <row r="12" spans="1:10">
      <c r="A12" s="28">
        <v>5</v>
      </c>
      <c r="B12" s="28" t="s">
        <v>4</v>
      </c>
      <c r="C12" s="28" t="s">
        <v>8</v>
      </c>
      <c r="D12" s="28" t="s">
        <v>9</v>
      </c>
      <c r="E12" s="28" t="s">
        <v>6</v>
      </c>
      <c r="F12" s="28" t="s">
        <v>7</v>
      </c>
      <c r="G12" s="14" t="s">
        <v>32</v>
      </c>
      <c r="H12" s="14"/>
      <c r="I12" s="14"/>
      <c r="J12" s="33"/>
    </row>
    <row r="13" spans="1:10">
      <c r="A13" s="31"/>
      <c r="B13" s="32"/>
      <c r="C13" s="32">
        <v>27000</v>
      </c>
      <c r="D13" s="32">
        <v>37000</v>
      </c>
      <c r="E13" s="32">
        <v>0.61</v>
      </c>
      <c r="F13" s="32">
        <v>0.71</v>
      </c>
      <c r="G13" s="3">
        <v>0</v>
      </c>
      <c r="H13" s="3"/>
      <c r="I13" s="3"/>
      <c r="J13" s="9"/>
    </row>
    <row r="14" spans="1:10">
      <c r="A14" s="34">
        <v>6</v>
      </c>
      <c r="B14" s="23" t="s">
        <v>10</v>
      </c>
      <c r="C14" s="14" t="s">
        <v>5</v>
      </c>
      <c r="D14" s="14" t="s">
        <v>17</v>
      </c>
      <c r="E14" s="14" t="s">
        <v>11</v>
      </c>
      <c r="F14" s="14" t="s">
        <v>33</v>
      </c>
      <c r="G14" s="14"/>
      <c r="H14" s="14"/>
      <c r="I14" s="14"/>
      <c r="J14" s="33"/>
    </row>
    <row r="15" spans="1:10">
      <c r="A15" s="6"/>
      <c r="B15" s="35"/>
      <c r="C15" s="36">
        <v>37000</v>
      </c>
      <c r="D15" s="36">
        <v>2000</v>
      </c>
      <c r="E15" s="36">
        <v>0.71</v>
      </c>
      <c r="F15" s="36">
        <v>0</v>
      </c>
      <c r="G15" s="36"/>
      <c r="H15" s="3"/>
      <c r="I15" s="3"/>
      <c r="J15" s="9"/>
    </row>
    <row r="16" spans="1:10">
      <c r="A16" s="28">
        <v>7</v>
      </c>
      <c r="B16" s="28" t="s">
        <v>26</v>
      </c>
      <c r="C16" s="28" t="s">
        <v>16</v>
      </c>
      <c r="D16" s="14"/>
      <c r="E16" s="14"/>
      <c r="F16" s="14"/>
      <c r="G16" s="14"/>
      <c r="H16" s="14"/>
      <c r="I16" s="14"/>
      <c r="J16" s="33"/>
    </row>
    <row r="17" spans="1:10">
      <c r="A17" s="32"/>
      <c r="B17" s="32"/>
      <c r="C17" s="32">
        <v>0.99</v>
      </c>
      <c r="D17" s="3"/>
      <c r="E17" s="3"/>
      <c r="F17" s="3"/>
      <c r="G17" s="3"/>
      <c r="H17" s="3"/>
      <c r="I17" s="3"/>
      <c r="J17" s="9"/>
    </row>
    <row r="18" spans="1:10">
      <c r="A18" s="28">
        <v>8</v>
      </c>
      <c r="B18" s="28" t="s">
        <v>27</v>
      </c>
      <c r="C18" s="28" t="s">
        <v>16</v>
      </c>
      <c r="D18" s="14"/>
      <c r="E18" s="14"/>
      <c r="F18" s="14"/>
      <c r="G18" s="14"/>
      <c r="H18" s="14"/>
      <c r="I18" s="14"/>
      <c r="J18" s="33"/>
    </row>
    <row r="19" spans="1:10">
      <c r="A19" s="32"/>
      <c r="B19" s="32"/>
      <c r="C19" s="32">
        <v>0.995</v>
      </c>
      <c r="D19" s="3"/>
      <c r="E19" s="3"/>
      <c r="F19" s="3"/>
      <c r="G19" s="3"/>
      <c r="H19" s="3"/>
      <c r="I19" s="3"/>
      <c r="J19" s="9"/>
    </row>
    <row r="20" spans="1:10">
      <c r="A20" s="37"/>
      <c r="B20" s="14"/>
      <c r="C20" s="14"/>
      <c r="D20" s="14"/>
      <c r="E20" s="14"/>
      <c r="F20" s="14"/>
      <c r="G20" s="14"/>
      <c r="H20" s="14"/>
      <c r="I20" s="14"/>
      <c r="J20" s="33"/>
    </row>
    <row r="21" spans="1:10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>
      <c r="A22" s="37"/>
      <c r="B22" s="14"/>
      <c r="C22" s="14"/>
      <c r="D22" s="14"/>
      <c r="E22" s="14"/>
      <c r="F22" s="14"/>
      <c r="G22" s="14"/>
      <c r="H22" s="14"/>
      <c r="I22" s="14"/>
      <c r="J22" s="33"/>
    </row>
    <row r="23" spans="1:10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>
      <c r="A24" s="37"/>
      <c r="B24" s="14"/>
      <c r="C24" s="14"/>
      <c r="D24" s="14"/>
      <c r="E24" s="14"/>
      <c r="F24" s="14"/>
      <c r="G24" s="14"/>
      <c r="H24" s="14"/>
      <c r="I24" s="14"/>
      <c r="J24" s="33"/>
    </row>
    <row r="25" spans="1:10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>
      <c r="A26" s="37"/>
      <c r="B26" s="14"/>
      <c r="C26" s="14"/>
      <c r="D26" s="14"/>
      <c r="E26" s="14"/>
      <c r="F26" s="14"/>
      <c r="G26" s="14"/>
      <c r="H26" s="14"/>
      <c r="I26" s="14"/>
      <c r="J26" s="33"/>
    </row>
    <row r="27" spans="1:10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>
      <c r="A28" s="37"/>
      <c r="B28" s="14"/>
      <c r="C28" s="14"/>
      <c r="D28" s="14"/>
      <c r="E28" s="14"/>
      <c r="F28" s="14"/>
      <c r="G28" s="14"/>
      <c r="H28" s="14"/>
      <c r="I28" s="14"/>
      <c r="J28" s="33"/>
    </row>
    <row r="29" spans="1:10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>
      <c r="A30" s="37"/>
      <c r="B30" s="14"/>
      <c r="C30" s="14"/>
      <c r="D30" s="14"/>
      <c r="E30" s="14"/>
      <c r="F30" s="14"/>
      <c r="G30" s="14"/>
      <c r="H30" s="14"/>
      <c r="I30" s="14"/>
      <c r="J30" s="33"/>
    </row>
    <row r="31" spans="1:10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>
      <c r="A32" s="37"/>
      <c r="B32" s="14"/>
      <c r="C32" s="14"/>
      <c r="D32" s="14"/>
      <c r="E32" s="14"/>
      <c r="F32" s="14"/>
      <c r="G32" s="14"/>
      <c r="H32" s="14"/>
      <c r="I32" s="14"/>
      <c r="J32" s="33"/>
    </row>
    <row r="33" spans="1:10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>
      <c r="A34" s="37"/>
      <c r="B34" s="14"/>
      <c r="C34" s="14"/>
      <c r="D34" s="14"/>
      <c r="E34" s="14"/>
      <c r="F34" s="14"/>
      <c r="G34" s="14"/>
      <c r="H34" s="14"/>
      <c r="I34" s="14"/>
      <c r="J34" s="33"/>
    </row>
    <row r="35" spans="1:10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>
      <c r="A36" s="37"/>
      <c r="B36" s="14"/>
      <c r="C36" s="14"/>
      <c r="D36" s="14"/>
      <c r="E36" s="14"/>
      <c r="F36" s="14"/>
      <c r="G36" s="14"/>
      <c r="H36" s="14"/>
      <c r="I36" s="14"/>
      <c r="J36" s="33"/>
    </row>
    <row r="37" spans="1:10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>
      <c r="A38" s="37"/>
      <c r="B38" s="14"/>
      <c r="C38" s="14"/>
      <c r="D38" s="14"/>
      <c r="E38" s="14"/>
      <c r="F38" s="14"/>
      <c r="G38" s="14"/>
      <c r="H38" s="14"/>
      <c r="I38" s="14"/>
      <c r="J38" s="33"/>
    </row>
    <row r="39" spans="1:10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>
      <c r="A40" s="37"/>
      <c r="B40" s="14"/>
      <c r="C40" s="14"/>
      <c r="D40" s="14"/>
      <c r="E40" s="14"/>
      <c r="F40" s="14"/>
      <c r="G40" s="14"/>
      <c r="H40" s="14"/>
      <c r="I40" s="14"/>
      <c r="J40" s="33"/>
    </row>
    <row r="41" spans="1:10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>
      <c r="A42" s="37"/>
      <c r="B42" s="14"/>
      <c r="C42" s="14"/>
      <c r="D42" s="14"/>
      <c r="E42" s="14"/>
      <c r="F42" s="14"/>
      <c r="G42" s="14"/>
      <c r="H42" s="14"/>
      <c r="I42" s="14"/>
      <c r="J42" s="33"/>
    </row>
    <row r="43" spans="1:10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>
      <c r="A44" s="37"/>
      <c r="B44" s="14"/>
      <c r="C44" s="14"/>
      <c r="D44" s="14"/>
      <c r="E44" s="14"/>
      <c r="F44" s="14"/>
      <c r="G44" s="14"/>
      <c r="H44" s="14"/>
      <c r="I44" s="14"/>
      <c r="J44" s="33"/>
    </row>
    <row r="45" spans="1:10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>
      <c r="A46" s="37"/>
      <c r="B46" s="14"/>
      <c r="C46" s="14"/>
      <c r="D46" s="14"/>
      <c r="E46" s="14"/>
      <c r="F46" s="14"/>
      <c r="G46" s="14"/>
      <c r="H46" s="14"/>
      <c r="I46" s="14"/>
      <c r="J46" s="33"/>
    </row>
    <row r="47" spans="1:10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>
      <c r="A48" s="37"/>
      <c r="B48" s="14"/>
      <c r="C48" s="14"/>
      <c r="D48" s="14"/>
      <c r="E48" s="14"/>
      <c r="F48" s="14"/>
      <c r="G48" s="14"/>
      <c r="H48" s="14"/>
      <c r="I48" s="14"/>
      <c r="J48" s="33"/>
    </row>
    <row r="49" spans="1:10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>
      <c r="A50" s="37"/>
      <c r="B50" s="14"/>
      <c r="C50" s="14"/>
      <c r="D50" s="14"/>
      <c r="E50" s="14"/>
      <c r="F50" s="14"/>
      <c r="G50" s="14"/>
      <c r="H50" s="14"/>
      <c r="I50" s="14"/>
      <c r="J50" s="33"/>
    </row>
    <row r="51" spans="1:10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>
      <c r="A52" s="37"/>
      <c r="B52" s="14"/>
      <c r="C52" s="14"/>
      <c r="D52" s="14"/>
      <c r="E52" s="14"/>
      <c r="F52" s="14"/>
      <c r="G52" s="14"/>
      <c r="H52" s="14"/>
      <c r="I52" s="14"/>
      <c r="J52" s="33"/>
    </row>
    <row r="53" spans="1:10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>
      <c r="A54" s="37"/>
      <c r="B54" s="14"/>
      <c r="C54" s="14"/>
      <c r="D54" s="14"/>
      <c r="E54" s="14"/>
      <c r="F54" s="14"/>
      <c r="G54" s="14"/>
      <c r="H54" s="14"/>
      <c r="I54" s="14"/>
      <c r="J54" s="33"/>
    </row>
    <row r="55" spans="1:10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>
      <c r="A56" s="37"/>
      <c r="B56" s="14"/>
      <c r="C56" s="14"/>
      <c r="D56" s="14"/>
      <c r="E56" s="14"/>
      <c r="F56" s="14"/>
      <c r="G56" s="14"/>
      <c r="H56" s="14"/>
      <c r="I56" s="14"/>
      <c r="J56" s="33"/>
    </row>
    <row r="57" spans="1:10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>
      <c r="A58" s="37"/>
      <c r="B58" s="14"/>
      <c r="C58" s="14"/>
      <c r="D58" s="14"/>
      <c r="E58" s="14"/>
      <c r="F58" s="14"/>
      <c r="G58" s="14"/>
      <c r="H58" s="14"/>
      <c r="I58" s="14"/>
      <c r="J58" s="33"/>
    </row>
    <row r="59" spans="1:10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>
      <c r="A60" s="37"/>
      <c r="B60" s="14"/>
      <c r="C60" s="14"/>
      <c r="D60" s="14"/>
      <c r="E60" s="14"/>
      <c r="F60" s="14"/>
      <c r="G60" s="14"/>
      <c r="H60" s="14"/>
      <c r="I60" s="14"/>
      <c r="J60" s="33"/>
    </row>
    <row r="61" spans="1:10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>
      <c r="A62" s="37"/>
      <c r="B62" s="14"/>
      <c r="C62" s="14"/>
      <c r="D62" s="14"/>
      <c r="E62" s="14"/>
      <c r="F62" s="14"/>
      <c r="G62" s="14"/>
      <c r="H62" s="14"/>
      <c r="I62" s="14"/>
      <c r="J62" s="33"/>
    </row>
    <row r="63" spans="1:10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>
      <c r="A64" s="37"/>
      <c r="B64" s="14"/>
      <c r="C64" s="14"/>
      <c r="D64" s="14"/>
      <c r="E64" s="14"/>
      <c r="F64" s="14"/>
      <c r="G64" s="14"/>
      <c r="H64" s="14"/>
      <c r="I64" s="14"/>
      <c r="J64" s="33"/>
    </row>
    <row r="65" spans="1:10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>
      <c r="A66" s="37"/>
      <c r="B66" s="14"/>
      <c r="C66" s="14"/>
      <c r="D66" s="14"/>
      <c r="E66" s="14"/>
      <c r="F66" s="14"/>
      <c r="G66" s="14"/>
      <c r="H66" s="14"/>
      <c r="I66" s="14"/>
      <c r="J66" s="33"/>
    </row>
    <row r="67" spans="1:10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>
      <c r="A68" s="37"/>
      <c r="B68" s="14"/>
      <c r="C68" s="14"/>
      <c r="D68" s="14"/>
      <c r="E68" s="14"/>
      <c r="F68" s="14"/>
      <c r="G68" s="14"/>
      <c r="H68" s="14"/>
      <c r="I68" s="14"/>
      <c r="J68" s="33"/>
    </row>
    <row r="69" spans="1:10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>
      <c r="A70" s="37"/>
      <c r="B70" s="14"/>
      <c r="C70" s="14"/>
      <c r="D70" s="14"/>
      <c r="E70" s="14"/>
      <c r="F70" s="14"/>
      <c r="G70" s="14"/>
      <c r="H70" s="14"/>
      <c r="I70" s="14"/>
      <c r="J70" s="33"/>
    </row>
    <row r="71" spans="1:10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>
      <c r="A72" s="37"/>
      <c r="B72" s="14"/>
      <c r="C72" s="14"/>
      <c r="D72" s="14"/>
      <c r="E72" s="14"/>
      <c r="F72" s="14"/>
      <c r="G72" s="14"/>
      <c r="H72" s="14"/>
      <c r="I72" s="14"/>
      <c r="J72" s="33"/>
    </row>
    <row r="73" spans="1:10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>
      <c r="A74" s="37"/>
      <c r="B74" s="14"/>
      <c r="C74" s="14"/>
      <c r="D74" s="14"/>
      <c r="E74" s="14"/>
      <c r="F74" s="14"/>
      <c r="G74" s="14"/>
      <c r="H74" s="14"/>
      <c r="I74" s="14"/>
      <c r="J74" s="33"/>
    </row>
    <row r="75" spans="1:10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>
      <c r="A76" s="37"/>
      <c r="B76" s="14"/>
      <c r="C76" s="14"/>
      <c r="D76" s="14"/>
      <c r="E76" s="14"/>
      <c r="F76" s="14"/>
      <c r="G76" s="14"/>
      <c r="H76" s="14"/>
      <c r="I76" s="14"/>
      <c r="J76" s="33"/>
    </row>
    <row r="77" spans="1:10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>
      <c r="A78" s="37"/>
      <c r="B78" s="14"/>
      <c r="C78" s="14"/>
      <c r="D78" s="14"/>
      <c r="E78" s="14"/>
      <c r="F78" s="14"/>
      <c r="G78" s="14"/>
      <c r="H78" s="14"/>
      <c r="I78" s="14"/>
      <c r="J78" s="33"/>
    </row>
    <row r="79" spans="1:10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>
      <c r="A80" s="37"/>
      <c r="B80" s="14"/>
      <c r="C80" s="14"/>
      <c r="D80" s="14"/>
      <c r="E80" s="14"/>
      <c r="F80" s="14"/>
      <c r="G80" s="14"/>
      <c r="H80" s="14"/>
      <c r="I80" s="14"/>
      <c r="J80" s="33"/>
    </row>
    <row r="81" spans="1:10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>
      <c r="A82" s="37"/>
      <c r="B82" s="14"/>
      <c r="C82" s="14"/>
      <c r="D82" s="14"/>
      <c r="E82" s="14"/>
      <c r="F82" s="14"/>
      <c r="G82" s="14"/>
      <c r="H82" s="14"/>
      <c r="I82" s="14"/>
      <c r="J82" s="33"/>
    </row>
    <row r="83" spans="1:10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>
      <c r="A84" s="37"/>
      <c r="B84" s="14"/>
      <c r="C84" s="14"/>
      <c r="D84" s="14"/>
      <c r="E84" s="14"/>
      <c r="F84" s="14"/>
      <c r="G84" s="14"/>
      <c r="H84" s="14"/>
      <c r="I84" s="14"/>
      <c r="J84" s="33"/>
    </row>
    <row r="85" spans="1:10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>
      <c r="A86" s="37"/>
      <c r="B86" s="14"/>
      <c r="C86" s="14"/>
      <c r="D86" s="14"/>
      <c r="E86" s="14"/>
      <c r="F86" s="14"/>
      <c r="G86" s="14"/>
      <c r="H86" s="14"/>
      <c r="I86" s="14"/>
      <c r="J86" s="33"/>
    </row>
    <row r="87" spans="1:10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>
      <c r="A88" s="37"/>
      <c r="B88" s="14"/>
      <c r="C88" s="14"/>
      <c r="D88" s="14"/>
      <c r="E88" s="14"/>
      <c r="F88" s="14"/>
      <c r="G88" s="14"/>
      <c r="H88" s="14"/>
      <c r="I88" s="14"/>
      <c r="J88" s="33"/>
    </row>
    <row r="89" spans="1:10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>
      <c r="A90" s="37"/>
      <c r="B90" s="14"/>
      <c r="C90" s="14"/>
      <c r="D90" s="14"/>
      <c r="E90" s="14"/>
      <c r="F90" s="14"/>
      <c r="G90" s="14"/>
      <c r="H90" s="14"/>
      <c r="I90" s="14"/>
      <c r="J90" s="33"/>
    </row>
    <row r="91" spans="1:10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>
      <c r="A92" s="37"/>
      <c r="B92" s="14"/>
      <c r="C92" s="14"/>
      <c r="D92" s="14"/>
      <c r="E92" s="14"/>
      <c r="F92" s="14"/>
      <c r="G92" s="14"/>
      <c r="H92" s="14"/>
      <c r="I92" s="14"/>
      <c r="J92" s="33"/>
    </row>
    <row r="93" spans="1:10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>
      <c r="A94" s="37"/>
      <c r="B94" s="14"/>
      <c r="C94" s="14"/>
      <c r="D94" s="14"/>
      <c r="E94" s="14"/>
      <c r="F94" s="14"/>
      <c r="G94" s="14"/>
      <c r="H94" s="14"/>
      <c r="I94" s="14"/>
      <c r="J94" s="33"/>
    </row>
    <row r="95" spans="1:10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>
      <c r="A96" s="37"/>
      <c r="B96" s="14"/>
      <c r="C96" s="14"/>
      <c r="D96" s="14"/>
      <c r="E96" s="14"/>
      <c r="F96" s="14"/>
      <c r="G96" s="14"/>
      <c r="H96" s="14"/>
      <c r="I96" s="14"/>
      <c r="J96" s="33"/>
    </row>
    <row r="97" spans="1:10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>
      <c r="A98" s="37"/>
      <c r="B98" s="14"/>
      <c r="C98" s="14"/>
      <c r="D98" s="14"/>
      <c r="E98" s="14"/>
      <c r="F98" s="14"/>
      <c r="G98" s="14"/>
      <c r="H98" s="14"/>
      <c r="I98" s="14"/>
      <c r="J98" s="33"/>
    </row>
    <row r="99" spans="1:10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>
      <c r="A100" s="37"/>
      <c r="B100" s="14"/>
      <c r="C100" s="14"/>
      <c r="D100" s="14"/>
      <c r="E100" s="14"/>
      <c r="F100" s="14"/>
      <c r="G100" s="14"/>
      <c r="H100" s="14"/>
      <c r="I100" s="14"/>
      <c r="J100" s="33"/>
    </row>
    <row r="101" spans="1:10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>
      <c r="A102" s="37"/>
      <c r="B102" s="14"/>
      <c r="C102" s="14"/>
      <c r="D102" s="14"/>
      <c r="E102" s="14"/>
      <c r="F102" s="14"/>
      <c r="G102" s="14"/>
      <c r="H102" s="14"/>
      <c r="I102" s="14"/>
      <c r="J102" s="33"/>
    </row>
    <row r="103" spans="1:10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>
      <c r="A104" s="37"/>
      <c r="B104" s="14"/>
      <c r="C104" s="14"/>
      <c r="D104" s="14"/>
      <c r="E104" s="14"/>
      <c r="F104" s="14"/>
      <c r="G104" s="14"/>
      <c r="H104" s="14"/>
      <c r="I104" s="14"/>
      <c r="J104" s="33"/>
    </row>
    <row r="105" spans="1:10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>
      <c r="A106" s="37"/>
      <c r="B106" s="14"/>
      <c r="C106" s="14"/>
      <c r="D106" s="14"/>
      <c r="E106" s="14"/>
      <c r="F106" s="14"/>
      <c r="G106" s="14"/>
      <c r="H106" s="14"/>
      <c r="I106" s="14"/>
      <c r="J106" s="33"/>
    </row>
    <row r="107" spans="1:10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>
      <c r="A108" s="37"/>
      <c r="B108" s="14"/>
      <c r="C108" s="14"/>
      <c r="D108" s="14"/>
      <c r="E108" s="14"/>
      <c r="F108" s="14"/>
      <c r="G108" s="14"/>
      <c r="H108" s="14"/>
      <c r="I108" s="14"/>
      <c r="J108" s="33"/>
    </row>
    <row r="109" spans="1:10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>
      <c r="A110" s="37"/>
      <c r="B110" s="14"/>
      <c r="C110" s="14"/>
      <c r="D110" s="14"/>
      <c r="E110" s="14"/>
      <c r="F110" s="14"/>
      <c r="G110" s="14"/>
      <c r="H110" s="14"/>
      <c r="I110" s="14"/>
      <c r="J110" s="33"/>
    </row>
    <row r="111" spans="1:10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>
      <c r="A112" s="37"/>
      <c r="B112" s="14"/>
      <c r="C112" s="14"/>
      <c r="D112" s="14"/>
      <c r="E112" s="14"/>
      <c r="F112" s="14"/>
      <c r="G112" s="14"/>
      <c r="H112" s="14"/>
      <c r="I112" s="14"/>
      <c r="J112" s="33"/>
    </row>
    <row r="113" spans="1:10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>
      <c r="A114" s="37"/>
      <c r="B114" s="14"/>
      <c r="C114" s="14"/>
      <c r="D114" s="14"/>
      <c r="E114" s="14"/>
      <c r="F114" s="14"/>
      <c r="G114" s="14"/>
      <c r="H114" s="14"/>
      <c r="I114" s="14"/>
      <c r="J114" s="33"/>
    </row>
    <row r="115" spans="1:10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>
      <c r="A116" s="37"/>
      <c r="B116" s="14"/>
      <c r="C116" s="14"/>
      <c r="D116" s="14"/>
      <c r="E116" s="14"/>
      <c r="F116" s="14"/>
      <c r="G116" s="14"/>
      <c r="H116" s="14"/>
      <c r="I116" s="14"/>
      <c r="J116" s="33"/>
    </row>
    <row r="117" spans="1:10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>
      <c r="A118" s="37"/>
      <c r="B118" s="14"/>
      <c r="C118" s="14"/>
      <c r="D118" s="14"/>
      <c r="E118" s="14"/>
      <c r="F118" s="14"/>
      <c r="G118" s="14"/>
      <c r="H118" s="14"/>
      <c r="I118" s="14"/>
      <c r="J118" s="33"/>
    </row>
    <row r="119" spans="1:10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>
      <c r="A120" s="37"/>
      <c r="B120" s="14"/>
      <c r="C120" s="14"/>
      <c r="D120" s="14"/>
      <c r="E120" s="14"/>
      <c r="F120" s="14"/>
      <c r="G120" s="14"/>
      <c r="H120" s="14"/>
      <c r="I120" s="14"/>
      <c r="J120" s="33"/>
    </row>
    <row r="121" spans="1:10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>
      <c r="A122" s="37"/>
      <c r="B122" s="14"/>
      <c r="C122" s="14"/>
      <c r="D122" s="14"/>
      <c r="E122" s="14"/>
      <c r="F122" s="14"/>
      <c r="G122" s="14"/>
      <c r="H122" s="14"/>
      <c r="I122" s="14"/>
      <c r="J122" s="33"/>
    </row>
    <row r="123" spans="1:10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>
      <c r="A124" s="37"/>
      <c r="B124" s="14"/>
      <c r="C124" s="14"/>
      <c r="D124" s="14"/>
      <c r="E124" s="14"/>
      <c r="F124" s="14"/>
      <c r="G124" s="14"/>
      <c r="H124" s="14"/>
      <c r="I124" s="14"/>
      <c r="J124" s="33"/>
    </row>
    <row r="125" spans="1:10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>
      <c r="A126" s="37"/>
      <c r="B126" s="14"/>
      <c r="C126" s="14"/>
      <c r="D126" s="14"/>
      <c r="E126" s="14"/>
      <c r="F126" s="14"/>
      <c r="G126" s="14"/>
      <c r="H126" s="14"/>
      <c r="I126" s="14"/>
      <c r="J126" s="33"/>
    </row>
    <row r="127" spans="1:10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>
      <c r="A128" s="37"/>
      <c r="B128" s="14"/>
      <c r="C128" s="14"/>
      <c r="D128" s="14"/>
      <c r="E128" s="14"/>
      <c r="F128" s="14"/>
      <c r="G128" s="14"/>
      <c r="H128" s="14"/>
      <c r="I128" s="14"/>
      <c r="J128" s="33"/>
    </row>
    <row r="129" spans="1:10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>
      <c r="A130" s="37"/>
      <c r="B130" s="14"/>
      <c r="C130" s="14"/>
      <c r="D130" s="14"/>
      <c r="E130" s="14"/>
      <c r="F130" s="14"/>
      <c r="G130" s="14"/>
      <c r="H130" s="14"/>
      <c r="I130" s="14"/>
      <c r="J130" s="33"/>
    </row>
    <row r="131" spans="1:10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>
      <c r="A132" s="37"/>
      <c r="B132" s="14"/>
      <c r="C132" s="14"/>
      <c r="D132" s="14"/>
      <c r="E132" s="14"/>
      <c r="F132" s="14"/>
      <c r="G132" s="14"/>
      <c r="H132" s="14"/>
      <c r="I132" s="14"/>
      <c r="J132" s="33"/>
    </row>
    <row r="133" spans="1:10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>
      <c r="A134" s="37"/>
      <c r="B134" s="14"/>
      <c r="C134" s="14"/>
      <c r="D134" s="14"/>
      <c r="E134" s="14"/>
      <c r="F134" s="14"/>
      <c r="G134" s="14"/>
      <c r="H134" s="14"/>
      <c r="I134" s="14"/>
      <c r="J134" s="33"/>
    </row>
    <row r="135" spans="1:10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>
      <c r="A136" s="37"/>
      <c r="B136" s="14"/>
      <c r="C136" s="14"/>
      <c r="D136" s="14"/>
      <c r="E136" s="14"/>
      <c r="F136" s="14"/>
      <c r="G136" s="14"/>
      <c r="H136" s="14"/>
      <c r="I136" s="14"/>
      <c r="J136" s="33"/>
    </row>
    <row r="137" spans="1:10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>
      <c r="A138" s="37"/>
      <c r="B138" s="14"/>
      <c r="C138" s="14"/>
      <c r="D138" s="14"/>
      <c r="E138" s="14"/>
      <c r="F138" s="14"/>
      <c r="G138" s="14"/>
      <c r="H138" s="14"/>
      <c r="I138" s="14"/>
      <c r="J138" s="33"/>
    </row>
    <row r="139" spans="1:10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>
      <c r="A140" s="37"/>
      <c r="B140" s="14"/>
      <c r="C140" s="14"/>
      <c r="D140" s="14"/>
      <c r="E140" s="14"/>
      <c r="F140" s="14"/>
      <c r="G140" s="14"/>
      <c r="H140" s="14"/>
      <c r="I140" s="14"/>
      <c r="J140" s="33"/>
    </row>
    <row r="141" spans="1:10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>
      <c r="A142" s="37"/>
      <c r="B142" s="14"/>
      <c r="C142" s="14"/>
      <c r="D142" s="14"/>
      <c r="E142" s="14"/>
      <c r="F142" s="14"/>
      <c r="G142" s="14"/>
      <c r="H142" s="14"/>
      <c r="I142" s="14"/>
      <c r="J142" s="33"/>
    </row>
    <row r="143" spans="1:10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>
      <c r="A144" s="37"/>
      <c r="B144" s="14"/>
      <c r="C144" s="14"/>
      <c r="D144" s="14"/>
      <c r="E144" s="14"/>
      <c r="F144" s="14"/>
      <c r="G144" s="14"/>
      <c r="H144" s="14"/>
      <c r="I144" s="14"/>
      <c r="J144" s="33"/>
    </row>
    <row r="145" spans="1:10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>
      <c r="A146" s="37"/>
      <c r="B146" s="14"/>
      <c r="C146" s="14"/>
      <c r="D146" s="14"/>
      <c r="E146" s="14"/>
      <c r="F146" s="14"/>
      <c r="G146" s="14"/>
      <c r="H146" s="14"/>
      <c r="I146" s="14"/>
      <c r="J146" s="33"/>
    </row>
    <row r="147" spans="1:10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>
      <c r="A148" s="37"/>
      <c r="B148" s="14"/>
      <c r="C148" s="14"/>
      <c r="D148" s="14"/>
      <c r="E148" s="14"/>
      <c r="F148" s="14"/>
      <c r="G148" s="14"/>
      <c r="H148" s="14"/>
      <c r="I148" s="14"/>
      <c r="J148" s="33"/>
    </row>
    <row r="149" spans="1:10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>
      <c r="A150" s="37"/>
      <c r="B150" s="14"/>
      <c r="C150" s="14"/>
      <c r="D150" s="14"/>
      <c r="E150" s="14"/>
      <c r="F150" s="14"/>
      <c r="G150" s="14"/>
      <c r="H150" s="14"/>
      <c r="I150" s="14"/>
      <c r="J150" s="33"/>
    </row>
    <row r="151" spans="1:10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>
      <c r="A152" s="37"/>
      <c r="B152" s="14"/>
      <c r="C152" s="14"/>
      <c r="D152" s="14"/>
      <c r="E152" s="14"/>
      <c r="F152" s="14"/>
      <c r="G152" s="14"/>
      <c r="H152" s="14"/>
      <c r="I152" s="14"/>
      <c r="J152" s="33"/>
    </row>
    <row r="153" spans="1:10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>
      <c r="A154" s="37"/>
      <c r="B154" s="14"/>
      <c r="C154" s="14"/>
      <c r="D154" s="14"/>
      <c r="E154" s="14"/>
      <c r="F154" s="14"/>
      <c r="G154" s="14"/>
      <c r="H154" s="14"/>
      <c r="I154" s="14"/>
      <c r="J154" s="33"/>
    </row>
    <row r="155" spans="1:10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>
      <c r="A156" s="37"/>
      <c r="B156" s="14"/>
      <c r="C156" s="14"/>
      <c r="D156" s="14"/>
      <c r="E156" s="14"/>
      <c r="F156" s="14"/>
      <c r="G156" s="14"/>
      <c r="H156" s="14"/>
      <c r="I156" s="14"/>
      <c r="J156" s="33"/>
    </row>
    <row r="157" spans="1:10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>
      <c r="A158" s="37"/>
      <c r="B158" s="14"/>
      <c r="C158" s="14"/>
      <c r="D158" s="14"/>
      <c r="E158" s="14"/>
      <c r="F158" s="14"/>
      <c r="G158" s="14"/>
      <c r="H158" s="14"/>
      <c r="I158" s="14"/>
      <c r="J158" s="33"/>
    </row>
    <row r="159" spans="1:10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>
      <c r="A160" s="37"/>
      <c r="B160" s="14"/>
      <c r="C160" s="14"/>
      <c r="D160" s="14"/>
      <c r="E160" s="14"/>
      <c r="F160" s="14"/>
      <c r="G160" s="14"/>
      <c r="H160" s="14"/>
      <c r="I160" s="14"/>
      <c r="J160" s="33"/>
    </row>
    <row r="161" spans="1:10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>
      <c r="A162" s="37"/>
      <c r="B162" s="14"/>
      <c r="C162" s="14"/>
      <c r="D162" s="14"/>
      <c r="E162" s="14"/>
      <c r="F162" s="14"/>
      <c r="G162" s="14"/>
      <c r="H162" s="14"/>
      <c r="I162" s="14"/>
      <c r="J162" s="33"/>
    </row>
    <row r="163" spans="1:10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>
      <c r="A164" s="37"/>
      <c r="B164" s="14"/>
      <c r="C164" s="14"/>
      <c r="D164" s="14"/>
      <c r="E164" s="14"/>
      <c r="F164" s="14"/>
      <c r="G164" s="14"/>
      <c r="H164" s="14"/>
      <c r="I164" s="14"/>
      <c r="J164" s="33"/>
    </row>
    <row r="165" spans="1:10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>
      <c r="A166" s="37"/>
      <c r="B166" s="14"/>
      <c r="C166" s="14"/>
      <c r="D166" s="14"/>
      <c r="E166" s="14"/>
      <c r="F166" s="14"/>
      <c r="G166" s="14"/>
      <c r="H166" s="14"/>
      <c r="I166" s="14"/>
      <c r="J166" s="33"/>
    </row>
    <row r="167" spans="1:10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>
      <c r="A168" s="37"/>
      <c r="B168" s="14"/>
      <c r="C168" s="14"/>
      <c r="D168" s="14"/>
      <c r="E168" s="14"/>
      <c r="F168" s="14"/>
      <c r="G168" s="14"/>
      <c r="H168" s="14"/>
      <c r="I168" s="14"/>
      <c r="J168" s="33"/>
    </row>
    <row r="169" spans="1:10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>
      <c r="A170" s="37"/>
      <c r="B170" s="14"/>
      <c r="C170" s="14"/>
      <c r="D170" s="14"/>
      <c r="E170" s="14"/>
      <c r="F170" s="14"/>
      <c r="G170" s="14"/>
      <c r="H170" s="14"/>
      <c r="I170" s="14"/>
      <c r="J170" s="33"/>
    </row>
    <row r="171" spans="1:10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>
      <c r="A172" s="37"/>
      <c r="B172" s="14"/>
      <c r="C172" s="14"/>
      <c r="D172" s="14"/>
      <c r="E172" s="14"/>
      <c r="F172" s="14"/>
      <c r="G172" s="14"/>
      <c r="H172" s="14"/>
      <c r="I172" s="14"/>
      <c r="J172" s="33"/>
    </row>
    <row r="173" spans="1:10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>
      <c r="A174" s="37"/>
      <c r="B174" s="14"/>
      <c r="C174" s="14"/>
      <c r="D174" s="14"/>
      <c r="E174" s="14"/>
      <c r="F174" s="14"/>
      <c r="G174" s="14"/>
      <c r="H174" s="14"/>
      <c r="I174" s="14"/>
      <c r="J174" s="33"/>
    </row>
    <row r="175" spans="1:10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>
      <c r="A176" s="37"/>
      <c r="B176" s="14"/>
      <c r="C176" s="14"/>
      <c r="D176" s="14"/>
      <c r="E176" s="14"/>
      <c r="F176" s="14"/>
      <c r="G176" s="14"/>
      <c r="H176" s="14"/>
      <c r="I176" s="14"/>
      <c r="J176" s="33"/>
    </row>
    <row r="177" spans="1:10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>
      <c r="A178" s="37"/>
      <c r="B178" s="14"/>
      <c r="C178" s="14"/>
      <c r="D178" s="14"/>
      <c r="E178" s="14"/>
      <c r="F178" s="14"/>
      <c r="G178" s="14"/>
      <c r="H178" s="14"/>
      <c r="I178" s="14"/>
      <c r="J178" s="33"/>
    </row>
    <row r="179" spans="1:10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>
      <c r="A180" s="37"/>
      <c r="B180" s="14"/>
      <c r="C180" s="14"/>
      <c r="D180" s="14"/>
      <c r="E180" s="14"/>
      <c r="F180" s="14"/>
      <c r="G180" s="14"/>
      <c r="H180" s="14"/>
      <c r="I180" s="14"/>
      <c r="J180" s="33"/>
    </row>
    <row r="181" spans="1:10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>
      <c r="A182" s="37"/>
      <c r="B182" s="14"/>
      <c r="C182" s="14"/>
      <c r="D182" s="14"/>
      <c r="E182" s="14"/>
      <c r="F182" s="14"/>
      <c r="G182" s="14"/>
      <c r="H182" s="14"/>
      <c r="I182" s="14"/>
      <c r="J182" s="33"/>
    </row>
  </sheetData>
  <conditionalFormatting sqref="A1:B1 D1:J1">
    <cfRule type="expression" dxfId="6" priority="2">
      <formula>MOD(ROW(),2)=0</formula>
    </cfRule>
  </conditionalFormatting>
  <conditionalFormatting sqref="A16:J182">
    <cfRule type="expression" dxfId="5" priority="4">
      <formula>MOD(ROW(),2)=0</formula>
    </cfRule>
  </conditionalFormatting>
  <conditionalFormatting sqref="C14:G15">
    <cfRule type="expression" dxfId="4" priority="1">
      <formula>MOD(ROW(),2)=0</formula>
    </cfRule>
  </conditionalFormatting>
  <conditionalFormatting sqref="G2:J9 G10:G13 H10:J15">
    <cfRule type="expression" dxfId="3" priority="3">
      <formula>MOD(ROW(),2)=0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F14536-C250-4EB6-8E0A-78A7BA80EB00}">
  <dimension ref="A1:J200"/>
  <sheetViews>
    <sheetView workbookViewId="0">
      <selection activeCell="H13" sqref="H13"/>
    </sheetView>
  </sheetViews>
  <sheetFormatPr defaultColWidth="10.796875" defaultRowHeight="15"/>
  <cols>
    <col min="1" max="1" width="15.796875" style="2" customWidth="1"/>
    <col min="2" max="2" width="16.296875" style="2" customWidth="1"/>
    <col min="3" max="3" width="19.296875" style="2" customWidth="1"/>
    <col min="4" max="4" width="17.296875" style="2" customWidth="1"/>
    <col min="5" max="5" width="12.69921875" style="2" customWidth="1"/>
    <col min="6" max="6" width="13.796875" style="2" customWidth="1"/>
    <col min="7" max="16384" width="10.796875" style="2"/>
  </cols>
  <sheetData>
    <row r="1" spans="1:10" ht="16.2" thickBot="1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5.6">
      <c r="A2" s="19">
        <v>1</v>
      </c>
      <c r="B2" s="19" t="s">
        <v>15</v>
      </c>
      <c r="C2" s="19" t="s">
        <v>16</v>
      </c>
      <c r="D2" s="19"/>
      <c r="E2" s="19"/>
      <c r="F2" s="21"/>
      <c r="G2" s="5"/>
      <c r="H2" s="5"/>
      <c r="I2" s="5"/>
      <c r="J2" s="7"/>
    </row>
    <row r="3" spans="1:10" ht="15.6">
      <c r="A3" s="20"/>
      <c r="B3" s="22"/>
      <c r="C3" s="22">
        <v>0.995</v>
      </c>
      <c r="D3" s="22"/>
      <c r="E3" s="22"/>
      <c r="F3" s="22"/>
      <c r="G3" s="3"/>
      <c r="H3" s="3"/>
      <c r="I3" s="3"/>
      <c r="J3" s="9"/>
    </row>
    <row r="4" spans="1:10" ht="15.6">
      <c r="A4" s="21">
        <v>2</v>
      </c>
      <c r="B4" s="21" t="s">
        <v>0</v>
      </c>
      <c r="C4" s="21" t="s">
        <v>1</v>
      </c>
      <c r="D4" s="21" t="s">
        <v>2</v>
      </c>
      <c r="E4" s="21" t="s">
        <v>3</v>
      </c>
      <c r="F4" s="21" t="s">
        <v>31</v>
      </c>
      <c r="G4" s="3"/>
      <c r="H4" s="3"/>
      <c r="I4" s="3"/>
      <c r="J4" s="9"/>
    </row>
    <row r="5" spans="1:10" ht="15.6">
      <c r="A5" s="20"/>
      <c r="B5" s="22"/>
      <c r="C5" s="22">
        <v>0</v>
      </c>
      <c r="D5" s="22">
        <v>1.5</v>
      </c>
      <c r="E5" s="22">
        <v>0.05</v>
      </c>
      <c r="F5" s="22">
        <v>6.0000000000000001E-3</v>
      </c>
      <c r="G5" s="3"/>
      <c r="H5" s="3"/>
      <c r="I5" s="3"/>
      <c r="J5" s="9"/>
    </row>
    <row r="6" spans="1:10" ht="15.6">
      <c r="A6" s="21">
        <v>3</v>
      </c>
      <c r="B6" s="21" t="s">
        <v>4</v>
      </c>
      <c r="C6" s="21" t="s">
        <v>8</v>
      </c>
      <c r="D6" s="21" t="s">
        <v>9</v>
      </c>
      <c r="E6" s="21" t="s">
        <v>6</v>
      </c>
      <c r="F6" s="21" t="s">
        <v>7</v>
      </c>
      <c r="G6" s="3" t="s">
        <v>32</v>
      </c>
      <c r="H6" s="3"/>
      <c r="I6" s="3"/>
      <c r="J6" s="9"/>
    </row>
    <row r="7" spans="1:10" ht="15.6">
      <c r="A7" s="20"/>
      <c r="B7" s="22"/>
      <c r="C7" s="22">
        <v>0</v>
      </c>
      <c r="D7" s="22">
        <v>10000</v>
      </c>
      <c r="E7" s="22">
        <v>0.1</v>
      </c>
      <c r="F7" s="22">
        <v>0.4</v>
      </c>
      <c r="G7" s="3">
        <v>0</v>
      </c>
      <c r="H7" s="3"/>
      <c r="I7" s="3"/>
      <c r="J7" s="9"/>
    </row>
    <row r="8" spans="1:10" ht="15.6">
      <c r="A8" s="21">
        <v>4</v>
      </c>
      <c r="B8" s="21" t="s">
        <v>4</v>
      </c>
      <c r="C8" s="21" t="s">
        <v>8</v>
      </c>
      <c r="D8" s="21" t="s">
        <v>9</v>
      </c>
      <c r="E8" s="21" t="s">
        <v>6</v>
      </c>
      <c r="F8" s="21" t="s">
        <v>7</v>
      </c>
      <c r="G8" s="3" t="s">
        <v>32</v>
      </c>
      <c r="H8" s="3"/>
      <c r="I8" s="3"/>
      <c r="J8" s="9"/>
    </row>
    <row r="9" spans="1:10" ht="15.6">
      <c r="A9" s="20"/>
      <c r="B9" s="22"/>
      <c r="C9" s="22">
        <v>10000</v>
      </c>
      <c r="D9" s="22">
        <v>20000</v>
      </c>
      <c r="E9" s="22">
        <v>0.4</v>
      </c>
      <c r="F9" s="22">
        <v>0.6</v>
      </c>
      <c r="G9" s="3">
        <v>0</v>
      </c>
      <c r="H9" s="3"/>
      <c r="I9" s="3"/>
      <c r="J9" s="9"/>
    </row>
    <row r="10" spans="1:10" ht="15.6">
      <c r="A10" s="21">
        <v>5</v>
      </c>
      <c r="B10" s="21" t="s">
        <v>4</v>
      </c>
      <c r="C10" s="21" t="s">
        <v>8</v>
      </c>
      <c r="D10" s="21" t="s">
        <v>9</v>
      </c>
      <c r="E10" s="21" t="s">
        <v>6</v>
      </c>
      <c r="F10" s="21" t="s">
        <v>7</v>
      </c>
      <c r="G10" s="3" t="s">
        <v>32</v>
      </c>
      <c r="H10" s="3"/>
      <c r="I10" s="3"/>
      <c r="J10" s="9"/>
    </row>
    <row r="11" spans="1:10" ht="15.6">
      <c r="A11" s="20"/>
      <c r="B11" s="22"/>
      <c r="C11" s="22">
        <v>20000</v>
      </c>
      <c r="D11" s="22">
        <v>30000</v>
      </c>
      <c r="E11" s="22">
        <v>0.6</v>
      </c>
      <c r="F11" s="22">
        <v>0.7</v>
      </c>
      <c r="G11" s="3">
        <v>0</v>
      </c>
      <c r="H11" s="3"/>
      <c r="I11" s="3"/>
      <c r="J11" s="9"/>
    </row>
    <row r="12" spans="1:10" ht="15.6">
      <c r="A12" s="21">
        <v>6</v>
      </c>
      <c r="B12" s="21" t="s">
        <v>4</v>
      </c>
      <c r="C12" s="21" t="s">
        <v>8</v>
      </c>
      <c r="D12" s="21" t="s">
        <v>9</v>
      </c>
      <c r="E12" s="21" t="s">
        <v>6</v>
      </c>
      <c r="F12" s="21" t="s">
        <v>7</v>
      </c>
      <c r="G12" s="3" t="s">
        <v>32</v>
      </c>
      <c r="H12" s="3"/>
      <c r="I12" s="3"/>
      <c r="J12" s="9"/>
    </row>
    <row r="13" spans="1:10" ht="15.6">
      <c r="A13" s="20"/>
      <c r="B13" s="22"/>
      <c r="C13" s="22">
        <v>30000</v>
      </c>
      <c r="D13" s="22">
        <v>34000</v>
      </c>
      <c r="E13" s="22">
        <v>0.77</v>
      </c>
      <c r="F13" s="22">
        <v>0.77</v>
      </c>
      <c r="G13" s="3">
        <v>0</v>
      </c>
      <c r="H13" s="3"/>
      <c r="I13" s="3"/>
      <c r="J13" s="9"/>
    </row>
    <row r="14" spans="1:10" ht="15.6">
      <c r="A14" s="21">
        <v>7</v>
      </c>
      <c r="B14" s="21" t="s">
        <v>10</v>
      </c>
      <c r="C14" s="21" t="s">
        <v>5</v>
      </c>
      <c r="D14" s="21" t="s">
        <v>17</v>
      </c>
      <c r="E14" s="21" t="s">
        <v>11</v>
      </c>
      <c r="F14" s="21" t="s">
        <v>33</v>
      </c>
      <c r="G14" s="3"/>
      <c r="H14" s="3"/>
      <c r="I14" s="3"/>
      <c r="J14" s="9"/>
    </row>
    <row r="15" spans="1:10" ht="15.6">
      <c r="A15" s="20"/>
      <c r="B15" s="22"/>
      <c r="C15" s="22">
        <v>32000</v>
      </c>
      <c r="D15" s="22">
        <v>2000</v>
      </c>
      <c r="E15" s="22">
        <v>0.77</v>
      </c>
      <c r="F15" s="22">
        <v>0</v>
      </c>
      <c r="G15" s="3"/>
      <c r="H15" s="3"/>
      <c r="I15" s="3"/>
      <c r="J15" s="9"/>
    </row>
    <row r="16" spans="1:10" ht="15.6">
      <c r="A16" s="21">
        <v>8</v>
      </c>
      <c r="B16" s="21" t="s">
        <v>4</v>
      </c>
      <c r="C16" s="21" t="s">
        <v>8</v>
      </c>
      <c r="D16" s="21" t="s">
        <v>9</v>
      </c>
      <c r="E16" s="21" t="s">
        <v>6</v>
      </c>
      <c r="F16" s="21" t="s">
        <v>7</v>
      </c>
      <c r="G16" s="3" t="s">
        <v>32</v>
      </c>
      <c r="H16" s="3"/>
      <c r="I16" s="3"/>
      <c r="J16" s="9"/>
    </row>
    <row r="17" spans="1:10" ht="15.6">
      <c r="A17" s="20"/>
      <c r="B17" s="22"/>
      <c r="C17" s="22">
        <v>34000</v>
      </c>
      <c r="D17" s="22">
        <v>35000</v>
      </c>
      <c r="E17" s="22">
        <v>0.77</v>
      </c>
      <c r="F17" s="22">
        <v>0.77</v>
      </c>
      <c r="G17" s="3">
        <v>0</v>
      </c>
      <c r="H17" s="3"/>
      <c r="I17" s="3"/>
      <c r="J17" s="9"/>
    </row>
    <row r="18" spans="1:10" ht="15.6">
      <c r="A18" s="21">
        <v>9</v>
      </c>
      <c r="B18" s="21" t="s">
        <v>10</v>
      </c>
      <c r="C18" s="21" t="s">
        <v>5</v>
      </c>
      <c r="D18" s="21" t="s">
        <v>17</v>
      </c>
      <c r="E18" s="21" t="s">
        <v>11</v>
      </c>
      <c r="F18" s="21" t="s">
        <v>33</v>
      </c>
      <c r="G18" s="3"/>
      <c r="H18" s="3"/>
      <c r="I18" s="3"/>
      <c r="J18" s="9"/>
    </row>
    <row r="19" spans="1:10" ht="15.6">
      <c r="A19" s="20"/>
      <c r="B19" s="22"/>
      <c r="C19" s="22">
        <v>35000</v>
      </c>
      <c r="D19" s="22">
        <v>2000</v>
      </c>
      <c r="E19" s="22">
        <v>0.77</v>
      </c>
      <c r="F19" s="22">
        <v>0</v>
      </c>
      <c r="G19" s="3"/>
      <c r="H19" s="3"/>
      <c r="I19" s="3"/>
      <c r="J19" s="9"/>
    </row>
    <row r="20" spans="1:10" ht="15.6">
      <c r="A20" s="21">
        <v>10</v>
      </c>
      <c r="B20" s="21" t="s">
        <v>4</v>
      </c>
      <c r="C20" s="21" t="s">
        <v>8</v>
      </c>
      <c r="D20" s="21" t="s">
        <v>9</v>
      </c>
      <c r="E20" s="21" t="s">
        <v>6</v>
      </c>
      <c r="F20" s="21" t="s">
        <v>7</v>
      </c>
      <c r="G20" s="3" t="s">
        <v>32</v>
      </c>
      <c r="H20" s="3"/>
      <c r="I20" s="3"/>
      <c r="J20" s="9"/>
    </row>
    <row r="21" spans="1:10" ht="15.6">
      <c r="A21" s="20"/>
      <c r="B21" s="22"/>
      <c r="C21" s="22">
        <v>35000</v>
      </c>
      <c r="D21" s="22">
        <v>38000</v>
      </c>
      <c r="E21" s="22">
        <v>0.77</v>
      </c>
      <c r="F21" s="22">
        <v>0.77</v>
      </c>
      <c r="G21" s="3">
        <v>0</v>
      </c>
      <c r="H21" s="3"/>
      <c r="I21" s="3"/>
      <c r="J21" s="9"/>
    </row>
    <row r="22" spans="1:10" ht="15.6">
      <c r="A22" s="21">
        <v>11</v>
      </c>
      <c r="B22" s="21" t="s">
        <v>10</v>
      </c>
      <c r="C22" s="21" t="s">
        <v>5</v>
      </c>
      <c r="D22" s="21" t="s">
        <v>17</v>
      </c>
      <c r="E22" s="21" t="s">
        <v>11</v>
      </c>
      <c r="F22" s="21" t="s">
        <v>33</v>
      </c>
      <c r="G22" s="3"/>
      <c r="H22" s="3"/>
      <c r="I22" s="3"/>
      <c r="J22" s="9"/>
    </row>
    <row r="23" spans="1:10">
      <c r="A23" s="22"/>
      <c r="B23" s="22"/>
      <c r="C23" s="22">
        <v>38000</v>
      </c>
      <c r="D23" s="22">
        <v>2000</v>
      </c>
      <c r="E23" s="22">
        <v>0.77</v>
      </c>
      <c r="F23" s="22">
        <v>0</v>
      </c>
      <c r="G23" s="3"/>
      <c r="H23" s="3"/>
      <c r="I23" s="3"/>
      <c r="J23" s="9"/>
    </row>
    <row r="24" spans="1:10" ht="15.6">
      <c r="A24" s="8">
        <v>12</v>
      </c>
      <c r="B24" s="34" t="s">
        <v>12</v>
      </c>
      <c r="C24" s="23" t="s">
        <v>5</v>
      </c>
      <c r="D24" s="23" t="s">
        <v>13</v>
      </c>
      <c r="E24" s="23" t="s">
        <v>34</v>
      </c>
      <c r="F24" s="21"/>
      <c r="G24" s="3"/>
      <c r="H24" s="3"/>
      <c r="I24" s="3"/>
      <c r="J24" s="9"/>
    </row>
    <row r="25" spans="1:10" ht="15.6">
      <c r="A25" s="6"/>
      <c r="B25" s="8"/>
      <c r="C25" s="3">
        <v>10000</v>
      </c>
      <c r="D25" s="3">
        <v>0.25</v>
      </c>
      <c r="E25" s="3">
        <v>0</v>
      </c>
      <c r="F25" s="22"/>
      <c r="G25" s="3"/>
      <c r="H25" s="3"/>
      <c r="I25" s="3"/>
      <c r="J25" s="9"/>
    </row>
    <row r="26" spans="1:10" ht="15.6">
      <c r="A26" s="21">
        <v>13</v>
      </c>
      <c r="B26" s="21" t="s">
        <v>26</v>
      </c>
      <c r="C26" s="21" t="s">
        <v>16</v>
      </c>
      <c r="D26" s="3"/>
      <c r="E26" s="3"/>
      <c r="F26" s="3"/>
      <c r="G26" s="3"/>
      <c r="H26" s="3"/>
      <c r="I26" s="3"/>
      <c r="J26" s="9"/>
    </row>
    <row r="27" spans="1:10">
      <c r="A27" s="22"/>
      <c r="B27" s="22"/>
      <c r="C27" s="22">
        <v>0.99</v>
      </c>
      <c r="D27" s="3"/>
      <c r="E27" s="3"/>
      <c r="F27" s="3"/>
      <c r="G27" s="3"/>
      <c r="H27" s="3"/>
      <c r="I27" s="3"/>
      <c r="J27" s="9"/>
    </row>
    <row r="28" spans="1:10" ht="15.6">
      <c r="A28" s="21">
        <v>14</v>
      </c>
      <c r="B28" s="21" t="s">
        <v>27</v>
      </c>
      <c r="C28" s="21" t="s">
        <v>16</v>
      </c>
      <c r="D28" s="3"/>
      <c r="E28" s="3"/>
      <c r="F28" s="3"/>
      <c r="G28" s="3"/>
      <c r="H28" s="3"/>
      <c r="I28" s="3"/>
      <c r="J28" s="9"/>
    </row>
    <row r="29" spans="1:10">
      <c r="A29" s="22"/>
      <c r="B29" s="22"/>
      <c r="C29" s="22">
        <v>0.995</v>
      </c>
      <c r="D29" s="3"/>
      <c r="E29" s="3"/>
      <c r="F29" s="3"/>
      <c r="G29" s="3"/>
      <c r="H29" s="3"/>
      <c r="I29" s="3"/>
      <c r="J29" s="9"/>
    </row>
    <row r="30" spans="1:10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">
    <cfRule type="expression" dxfId="2" priority="2">
      <formula>MOD(ROW(),2)=0</formula>
    </cfRule>
  </conditionalFormatting>
  <conditionalFormatting sqref="B1 D1:J1">
    <cfRule type="expression" dxfId="1" priority="1">
      <formula>MOD(ROW(),2)=0</formula>
    </cfRule>
  </conditionalFormatting>
  <conditionalFormatting sqref="K1:XFD1 G2:XFD25 A26:XFD1048576">
    <cfRule type="expression" dxfId="0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Templates</vt:lpstr>
      <vt:lpstr>MD80 (2)</vt:lpstr>
      <vt:lpstr>Outbound Short (KASE -&gt; KDEN)</vt:lpstr>
      <vt:lpstr>Inbound Short (KDEN -&gt; KASE)</vt:lpstr>
      <vt:lpstr>Outbound Long (KASE -&gt; KORD)</vt:lpstr>
      <vt:lpstr>Inbound Long (KORD -&gt; KASE)</vt:lpstr>
      <vt:lpstr>B717</vt:lpstr>
      <vt:lpstr>B747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Natsumi Kakuda</cp:lastModifiedBy>
  <dcterms:created xsi:type="dcterms:W3CDTF">2024-11-07T17:59:15Z</dcterms:created>
  <dcterms:modified xsi:type="dcterms:W3CDTF">2026-09-17T02:43:46Z</dcterms:modified>
</cp:coreProperties>
</file>