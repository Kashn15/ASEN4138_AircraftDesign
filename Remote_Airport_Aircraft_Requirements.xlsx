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aska7164_colorado_edu/Documents/Desktop/"/>
    </mc:Choice>
  </mc:AlternateContent>
  <xr:revisionPtr revIDLastSave="3" documentId="11_378C1BD2F879BEFE54BE569B49C61147FB353376" xr6:coauthVersionLast="47" xr6:coauthVersionMax="47" xr10:uidLastSave="{EADBDC9F-133E-469C-AC06-AAD020B5BC6F}"/>
  <bookViews>
    <workbookView minimized="1" xWindow="-675" yWindow="-19815" windowWidth="17280" windowHeight="9960" activeTab="1" xr2:uid="{00000000-000D-0000-FFFF-FFFF00000000}"/>
  </bookViews>
  <sheets>
    <sheet name="Aircraft Requirements" sheetId="1" r:id="rId1"/>
    <sheet name="Paved Airports" sheetId="2" r:id="rId2"/>
    <sheet name="Non-Asphalt Airports" sheetId="3" r:id="rId3"/>
    <sheet name="Design 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3" i="3"/>
  <c r="B12" i="3"/>
  <c r="B16" i="2"/>
  <c r="B15" i="2"/>
  <c r="B14" i="2"/>
  <c r="B13" i="2"/>
  <c r="D13" i="1"/>
</calcChain>
</file>

<file path=xl/sharedStrings.xml><?xml version="1.0" encoding="utf-8"?>
<sst xmlns="http://schemas.openxmlformats.org/spreadsheetml/2006/main" count="152" uniqueCount="102">
  <si>
    <t>Remote-Airport Transport Aircraft — Requirements</t>
  </si>
  <si>
    <t>Concept: 150+ passenger transport using blown flaps and a pivoting wing for short/high-altitude and remote-airport operations.</t>
  </si>
  <si>
    <t>Requirement</t>
  </si>
  <si>
    <t>Value</t>
  </si>
  <si>
    <t>Minimum passengers</t>
  </si>
  <si>
    <t>Reference layout</t>
  </si>
  <si>
    <t>B717 / MD-80 configuration with B737-800-class seating</t>
  </si>
  <si>
    <t>High-lift concept</t>
  </si>
  <si>
    <t>Blown flap with pivoting wing</t>
  </si>
  <si>
    <t>Primary operational objective</t>
  </si>
  <si>
    <t>Landing and takeoff at remote airports</t>
  </si>
  <si>
    <t>Cabin Configuration 1</t>
  </si>
  <si>
    <t>16 first class + 134 economy = 150 total</t>
  </si>
  <si>
    <t>Cabin Configuration 2</t>
  </si>
  <si>
    <t>Private / TBD</t>
  </si>
  <si>
    <t>Cabin Configuration</t>
  </si>
  <si>
    <t>First Class</t>
  </si>
  <si>
    <t>Economy</t>
  </si>
  <si>
    <t>Total</t>
  </si>
  <si>
    <t>Configuration 1</t>
  </si>
  <si>
    <t>Configuration 2 — Private</t>
  </si>
  <si>
    <t>Mission-parameter resource</t>
  </si>
  <si>
    <t>URL</t>
  </si>
  <si>
    <t>EUROCONTROL Aircraft Performance Database</t>
  </si>
  <si>
    <t>https://learningzone.eurocontrol.int/ilp/customs/ATCPFDB/default.aspx</t>
  </si>
  <si>
    <t>AviatorJoe Aircraft Comparison</t>
  </si>
  <si>
    <t>https://www.aviatorjoe.net/go/compare/</t>
  </si>
  <si>
    <t>Serviced Airports — Paved</t>
  </si>
  <si>
    <t>Values transcribed from the supplied project notes; verify against current airport planning documents before establishing certification requirements.</t>
  </si>
  <si>
    <t>Airport</t>
  </si>
  <si>
    <t>Runway Length (ft)</t>
  </si>
  <si>
    <t>Runway Width (ft)</t>
  </si>
  <si>
    <t>Field Elevation (ft)</t>
  </si>
  <si>
    <t>Max Wingspan (ft)</t>
  </si>
  <si>
    <t>Max Weight (lb)</t>
  </si>
  <si>
    <t>Surface Group</t>
  </si>
  <si>
    <t>Source</t>
  </si>
  <si>
    <t>ASE</t>
  </si>
  <si>
    <t>Paved</t>
  </si>
  <si>
    <t>https://www.airnav.com/airport/kase</t>
  </si>
  <si>
    <t>JAC</t>
  </si>
  <si>
    <t>https://www.jacksonholeairport.com/</t>
  </si>
  <si>
    <t>TEX</t>
  </si>
  <si>
    <t>https://tellurideairport.com/</t>
  </si>
  <si>
    <t>SUN</t>
  </si>
  <si>
    <t>https://iflysun.com/</t>
  </si>
  <si>
    <t>GUC</t>
  </si>
  <si>
    <t>https://www.gunnisoncounty.org/131/Airport</t>
  </si>
  <si>
    <t>EGE</t>
  </si>
  <si>
    <t>https://flyege.com/</t>
  </si>
  <si>
    <t>Constraint Summary</t>
  </si>
  <si>
    <t>Shortest runway (ft)</t>
  </si>
  <si>
    <t>Highest field elevation (ft)</t>
  </si>
  <si>
    <t>Most restrictive wingspan (ft)</t>
  </si>
  <si>
    <t>Most restrictive max weight (lb)</t>
  </si>
  <si>
    <t>Serviced Airports — Non-Asphalt</t>
  </si>
  <si>
    <t>Missing wingspan and weight limits are intentionally left blank and labeled TBD; confirm the exact runway and surface for each airport.</t>
  </si>
  <si>
    <t>FAI</t>
  </si>
  <si>
    <t>Non-Asphalt</t>
  </si>
  <si>
    <t>TBD</t>
  </si>
  <si>
    <t>FYU</t>
  </si>
  <si>
    <t>KPN</t>
  </si>
  <si>
    <t>KWN</t>
  </si>
  <si>
    <t>GAL</t>
  </si>
  <si>
    <t>Narrowest runway (ft)</t>
  </si>
  <si>
    <t>Concept References and Trade Studies</t>
  </si>
  <si>
    <t>Category</t>
  </si>
  <si>
    <t>Item</t>
  </si>
  <si>
    <t>Purpose / Question</t>
  </si>
  <si>
    <t>Status</t>
  </si>
  <si>
    <t>Reference study</t>
  </si>
  <si>
    <t>NASA/Boeing X-66</t>
  </si>
  <si>
    <t>Investigate pivoting/transonic truss-braced wing relevance and integration lessons</t>
  </si>
  <si>
    <t>Research</t>
  </si>
  <si>
    <t>Dolphin study</t>
  </si>
  <si>
    <t>Review a smaller-capacity analogue and scale effects</t>
  </si>
  <si>
    <t>Mission concept</t>
  </si>
  <si>
    <t>Disaster-relief airlift</t>
  </si>
  <si>
    <t>Assess remote access, austere runway, cargo flexibility, and turnaround needs</t>
  </si>
  <si>
    <t>Evaluate</t>
  </si>
  <si>
    <t>Reference aircraft</t>
  </si>
  <si>
    <t>A300 / military cargo derivative concepts</t>
  </si>
  <si>
    <t>Compare cargo volume, loading, and relief-airlift adaptability</t>
  </si>
  <si>
    <t>Configuration</t>
  </si>
  <si>
    <t>B717 / MD-80</t>
  </si>
  <si>
    <t>Rear-engine arrangement and baseline configuration analogue</t>
  </si>
  <si>
    <t>Compare</t>
  </si>
  <si>
    <t>Capacity benchmark</t>
  </si>
  <si>
    <t>B737-800</t>
  </si>
  <si>
    <t>Target passenger seating class</t>
  </si>
  <si>
    <t>Benchmark</t>
  </si>
  <si>
    <t>Trade study</t>
  </si>
  <si>
    <t>Turboprop vs. high-bypass turbofan</t>
  </si>
  <si>
    <t>Compare range, cruise speed, installed power, field performance, noise, and fuel burn</t>
  </si>
  <si>
    <t>Trade Study</t>
  </si>
  <si>
    <t>Technology</t>
  </si>
  <si>
    <t>Hybrid-electric boost</t>
  </si>
  <si>
    <t>Consider supplemental power during takeoff and climb</t>
  </si>
  <si>
    <t>High-lift system</t>
  </si>
  <si>
    <t>Blown flap + pivoting wing</t>
  </si>
  <si>
    <t>Quantify lift benefit, mechanical complexity, mass, control, failure modes, and certification risk</t>
  </si>
  <si>
    <t>Core Concept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</si>
</sst>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i/>
      <sz val="11"/>
      <color rgb="FF68737D"/>
      <name val="Carlito"/>
    </font>
    <font>
      <b/>
      <sz val="11"/>
      <color rgb="FF17365D"/>
      <name val="Carlito"/>
    </font>
    <font>
      <i/>
      <sz val="11"/>
      <color rgb="FF7F6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6F9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/>
      <top/>
      <bottom style="thin">
        <color rgb="FFD9E0E6"/>
      </bottom>
      <diagonal/>
    </border>
    <border>
      <left/>
      <right/>
      <top style="thin">
        <color rgb="FFD9E0E6"/>
      </top>
      <bottom style="thin">
        <color rgb="FFD9E0E6"/>
      </bottom>
      <diagonal/>
    </border>
    <border>
      <left/>
      <right/>
      <top style="thin">
        <color rgb="FFD9E0E6"/>
      </top>
      <bottom style="thin">
        <color rgb="FFAAB4BE"/>
      </bottom>
      <diagonal/>
    </border>
    <border>
      <left/>
      <right/>
      <top style="thin">
        <color rgb="FF9FBAD0"/>
      </top>
      <bottom style="thin">
        <color rgb="FF9FBAD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3" fontId="0" fillId="0" borderId="3" xfId="0" applyNumberFormat="1" applyBorder="1" applyAlignment="1">
      <alignment vertical="center"/>
    </xf>
    <xf numFmtId="0" fontId="3" fillId="4" borderId="6" xfId="0" applyFont="1" applyFill="1" applyBorder="1" applyAlignment="1">
      <alignment vertical="center" wrapText="1"/>
    </xf>
    <xf numFmtId="3" fontId="0" fillId="0" borderId="5" xfId="0" applyNumberFormat="1" applyBorder="1" applyAlignment="1">
      <alignment vertical="center"/>
    </xf>
    <xf numFmtId="3" fontId="0" fillId="0" borderId="4" xfId="0" applyNumberForma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3" fontId="0" fillId="0" borderId="3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showGridLines="0" workbookViewId="0">
      <selection activeCell="B7" sqref="B7"/>
    </sheetView>
  </sheetViews>
  <sheetFormatPr defaultRowHeight="13.8"/>
  <cols>
    <col min="1" max="1" width="29" customWidth="1"/>
    <col min="2" max="2" width="65" customWidth="1"/>
    <col min="3" max="4" width="16" customWidth="1"/>
  </cols>
  <sheetData>
    <row r="1" spans="1:4" ht="30" customHeight="1">
      <c r="A1" s="16" t="s">
        <v>0</v>
      </c>
      <c r="B1" s="16" t="s">
        <v>0</v>
      </c>
      <c r="C1" s="16" t="s">
        <v>0</v>
      </c>
      <c r="D1" s="16" t="s">
        <v>0</v>
      </c>
    </row>
    <row r="2" spans="1:4" ht="31.95" customHeight="1">
      <c r="A2" s="17" t="s">
        <v>1</v>
      </c>
      <c r="B2" s="17"/>
      <c r="C2" s="17"/>
      <c r="D2" s="17"/>
    </row>
    <row r="4" spans="1:4">
      <c r="A4" s="1" t="s">
        <v>2</v>
      </c>
      <c r="B4" s="2" t="s">
        <v>3</v>
      </c>
    </row>
    <row r="5" spans="1:4">
      <c r="A5" s="3" t="s">
        <v>4</v>
      </c>
      <c r="B5" s="19">
        <v>150</v>
      </c>
    </row>
    <row r="6" spans="1:4">
      <c r="A6" s="4" t="s">
        <v>5</v>
      </c>
      <c r="B6" s="4" t="s">
        <v>6</v>
      </c>
    </row>
    <row r="7" spans="1:4">
      <c r="A7" s="4" t="s">
        <v>7</v>
      </c>
      <c r="B7" s="4" t="s">
        <v>8</v>
      </c>
    </row>
    <row r="8" spans="1:4">
      <c r="A8" s="4" t="s">
        <v>9</v>
      </c>
      <c r="B8" s="4" t="s">
        <v>10</v>
      </c>
    </row>
    <row r="9" spans="1:4">
      <c r="A9" s="4" t="s">
        <v>11</v>
      </c>
      <c r="B9" s="4" t="s">
        <v>12</v>
      </c>
    </row>
    <row r="10" spans="1:4">
      <c r="A10" s="5" t="s">
        <v>13</v>
      </c>
      <c r="B10" s="5" t="s">
        <v>14</v>
      </c>
    </row>
    <row r="12" spans="1:4">
      <c r="A12" s="1" t="s">
        <v>15</v>
      </c>
      <c r="B12" s="7" t="s">
        <v>16</v>
      </c>
      <c r="C12" s="7" t="s">
        <v>17</v>
      </c>
      <c r="D12" s="2" t="s">
        <v>18</v>
      </c>
    </row>
    <row r="13" spans="1:4">
      <c r="A13" s="3" t="s">
        <v>19</v>
      </c>
      <c r="B13" s="6">
        <v>16</v>
      </c>
      <c r="C13" s="6">
        <v>134</v>
      </c>
      <c r="D13" s="6">
        <f>B13+C13</f>
        <v>150</v>
      </c>
    </row>
    <row r="14" spans="1:4">
      <c r="A14" s="5" t="s">
        <v>20</v>
      </c>
      <c r="B14" s="8"/>
      <c r="C14" s="8"/>
      <c r="D14" s="8"/>
    </row>
    <row r="16" spans="1:4">
      <c r="A16" s="1" t="s">
        <v>21</v>
      </c>
      <c r="B16" s="2" t="s">
        <v>22</v>
      </c>
    </row>
    <row r="17" spans="1:2">
      <c r="A17" s="3" t="s">
        <v>23</v>
      </c>
      <c r="B17" s="3" t="s">
        <v>24</v>
      </c>
    </row>
    <row r="18" spans="1:2">
      <c r="A18" s="5" t="s">
        <v>25</v>
      </c>
      <c r="B18" s="5" t="s">
        <v>26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showGridLines="0" tabSelected="1" workbookViewId="0">
      <selection activeCell="B14" sqref="B14"/>
    </sheetView>
  </sheetViews>
  <sheetFormatPr defaultRowHeight="13.8"/>
  <cols>
    <col min="1" max="1" width="25" customWidth="1"/>
    <col min="2" max="6" width="19" customWidth="1"/>
    <col min="7" max="7" width="14" customWidth="1"/>
    <col min="8" max="8" width="52" customWidth="1"/>
  </cols>
  <sheetData>
    <row r="1" spans="1:8" ht="30" customHeight="1">
      <c r="A1" s="16" t="s">
        <v>27</v>
      </c>
      <c r="B1" s="16" t="s">
        <v>27</v>
      </c>
      <c r="C1" s="16" t="s">
        <v>27</v>
      </c>
      <c r="D1" s="16" t="s">
        <v>27</v>
      </c>
      <c r="E1" s="16" t="s">
        <v>27</v>
      </c>
      <c r="F1" s="16" t="s">
        <v>27</v>
      </c>
      <c r="G1" s="16" t="s">
        <v>27</v>
      </c>
      <c r="H1" s="16" t="s">
        <v>27</v>
      </c>
    </row>
    <row r="2" spans="1:8" ht="28.05" customHeight="1">
      <c r="A2" s="17" t="s">
        <v>28</v>
      </c>
      <c r="B2" s="17"/>
      <c r="C2" s="17"/>
      <c r="D2" s="17"/>
      <c r="E2" s="17"/>
      <c r="F2" s="17"/>
      <c r="G2" s="17"/>
      <c r="H2" s="17"/>
    </row>
    <row r="4" spans="1:8">
      <c r="A4" s="1" t="s">
        <v>29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2" t="s">
        <v>36</v>
      </c>
    </row>
    <row r="5" spans="1:8">
      <c r="A5" s="3" t="s">
        <v>37</v>
      </c>
      <c r="B5" s="6">
        <v>8006</v>
      </c>
      <c r="C5" s="6">
        <v>100</v>
      </c>
      <c r="D5" s="6">
        <v>7838</v>
      </c>
      <c r="E5" s="6">
        <v>95</v>
      </c>
      <c r="F5" s="6">
        <v>100000</v>
      </c>
      <c r="G5" s="3" t="s">
        <v>38</v>
      </c>
      <c r="H5" s="3" t="s">
        <v>39</v>
      </c>
    </row>
    <row r="6" spans="1:8">
      <c r="A6" s="4" t="s">
        <v>40</v>
      </c>
      <c r="B6" s="9">
        <v>6300</v>
      </c>
      <c r="C6" s="9">
        <v>150</v>
      </c>
      <c r="D6" s="9">
        <v>6451</v>
      </c>
      <c r="E6" s="9">
        <v>118</v>
      </c>
      <c r="F6" s="9">
        <v>187000</v>
      </c>
      <c r="G6" s="4" t="s">
        <v>38</v>
      </c>
      <c r="H6" s="4" t="s">
        <v>41</v>
      </c>
    </row>
    <row r="7" spans="1:8">
      <c r="A7" s="4" t="s">
        <v>42</v>
      </c>
      <c r="B7" s="9">
        <v>7111</v>
      </c>
      <c r="C7" s="9">
        <v>100</v>
      </c>
      <c r="D7" s="9">
        <v>9070</v>
      </c>
      <c r="E7" s="9">
        <v>100</v>
      </c>
      <c r="F7" s="9">
        <v>89000</v>
      </c>
      <c r="G7" s="4" t="s">
        <v>38</v>
      </c>
      <c r="H7" s="4" t="s">
        <v>43</v>
      </c>
    </row>
    <row r="8" spans="1:8">
      <c r="A8" s="4" t="s">
        <v>44</v>
      </c>
      <c r="B8" s="9">
        <v>7550</v>
      </c>
      <c r="C8" s="9">
        <v>100</v>
      </c>
      <c r="D8" s="9">
        <v>5320</v>
      </c>
      <c r="E8" s="9">
        <v>100</v>
      </c>
      <c r="F8" s="9">
        <v>95000</v>
      </c>
      <c r="G8" s="4" t="s">
        <v>38</v>
      </c>
      <c r="H8" s="4" t="s">
        <v>45</v>
      </c>
    </row>
    <row r="9" spans="1:8">
      <c r="A9" s="4" t="s">
        <v>46</v>
      </c>
      <c r="B9" s="9">
        <v>9400</v>
      </c>
      <c r="C9" s="9">
        <v>150</v>
      </c>
      <c r="D9" s="9">
        <v>7680</v>
      </c>
      <c r="E9" s="9">
        <v>171</v>
      </c>
      <c r="F9" s="9">
        <v>160000</v>
      </c>
      <c r="G9" s="4" t="s">
        <v>38</v>
      </c>
      <c r="H9" s="4" t="s">
        <v>47</v>
      </c>
    </row>
    <row r="10" spans="1:8">
      <c r="A10" s="5" t="s">
        <v>48</v>
      </c>
      <c r="B10" s="8">
        <v>9000</v>
      </c>
      <c r="C10" s="8">
        <v>150</v>
      </c>
      <c r="D10" s="8">
        <v>6548</v>
      </c>
      <c r="E10" s="8">
        <v>124</v>
      </c>
      <c r="F10" s="8">
        <v>140000</v>
      </c>
      <c r="G10" s="5" t="s">
        <v>38</v>
      </c>
      <c r="H10" s="5" t="s">
        <v>49</v>
      </c>
    </row>
    <row r="12" spans="1:8">
      <c r="A12" s="1" t="s">
        <v>50</v>
      </c>
      <c r="B12" s="2" t="s">
        <v>3</v>
      </c>
    </row>
    <row r="13" spans="1:8">
      <c r="A13" s="3" t="s">
        <v>51</v>
      </c>
      <c r="B13" s="6">
        <f>MIN(B5:B10)</f>
        <v>6300</v>
      </c>
    </row>
    <row r="14" spans="1:8">
      <c r="A14" s="4" t="s">
        <v>52</v>
      </c>
      <c r="B14" s="9">
        <f>MAX(D5:D10)</f>
        <v>9070</v>
      </c>
    </row>
    <row r="15" spans="1:8">
      <c r="A15" s="4" t="s">
        <v>53</v>
      </c>
      <c r="B15" s="9">
        <f>MIN(E5:E10)</f>
        <v>95</v>
      </c>
    </row>
    <row r="16" spans="1:8">
      <c r="A16" s="5" t="s">
        <v>54</v>
      </c>
      <c r="B16" s="8">
        <f>MIN(F5:F10)</f>
        <v>89000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showGridLines="0" workbookViewId="0">
      <selection activeCell="B12" sqref="B12"/>
    </sheetView>
  </sheetViews>
  <sheetFormatPr defaultRowHeight="13.8"/>
  <cols>
    <col min="1" max="1" width="25" customWidth="1"/>
    <col min="2" max="6" width="19" customWidth="1"/>
    <col min="7" max="7" width="16" customWidth="1"/>
    <col min="8" max="8" width="24" customWidth="1"/>
  </cols>
  <sheetData>
    <row r="1" spans="1:8" ht="30" customHeight="1">
      <c r="A1" s="16" t="s">
        <v>55</v>
      </c>
      <c r="B1" s="16" t="s">
        <v>55</v>
      </c>
      <c r="C1" s="16" t="s">
        <v>55</v>
      </c>
      <c r="D1" s="16" t="s">
        <v>55</v>
      </c>
      <c r="E1" s="16" t="s">
        <v>55</v>
      </c>
      <c r="F1" s="16" t="s">
        <v>55</v>
      </c>
      <c r="G1" s="16" t="s">
        <v>55</v>
      </c>
      <c r="H1" s="16" t="s">
        <v>55</v>
      </c>
    </row>
    <row r="2" spans="1:8" ht="28.05" customHeight="1">
      <c r="A2" s="18" t="s">
        <v>56</v>
      </c>
      <c r="B2" s="18"/>
      <c r="C2" s="18"/>
      <c r="D2" s="18"/>
      <c r="E2" s="18"/>
      <c r="F2" s="18"/>
      <c r="G2" s="18"/>
      <c r="H2" s="18"/>
    </row>
    <row r="4" spans="1:8">
      <c r="A4" s="1" t="s">
        <v>29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2" t="s">
        <v>36</v>
      </c>
    </row>
    <row r="5" spans="1:8">
      <c r="A5" s="3" t="s">
        <v>57</v>
      </c>
      <c r="B5" s="6">
        <v>2900</v>
      </c>
      <c r="C5" s="6">
        <v>75</v>
      </c>
      <c r="D5" s="6">
        <v>439</v>
      </c>
      <c r="E5" s="6"/>
      <c r="F5" s="6"/>
      <c r="G5" s="3" t="s">
        <v>58</v>
      </c>
      <c r="H5" s="3" t="s">
        <v>59</v>
      </c>
    </row>
    <row r="6" spans="1:8">
      <c r="A6" s="4" t="s">
        <v>60</v>
      </c>
      <c r="B6" s="9">
        <v>5810</v>
      </c>
      <c r="C6" s="9">
        <v>150</v>
      </c>
      <c r="D6" s="9">
        <v>438</v>
      </c>
      <c r="E6" s="9"/>
      <c r="F6" s="9"/>
      <c r="G6" s="4" t="s">
        <v>58</v>
      </c>
      <c r="H6" s="4" t="s">
        <v>59</v>
      </c>
    </row>
    <row r="7" spans="1:8">
      <c r="A7" s="4" t="s">
        <v>61</v>
      </c>
      <c r="B7" s="9">
        <v>2120</v>
      </c>
      <c r="C7" s="9">
        <v>35</v>
      </c>
      <c r="D7" s="9">
        <v>11</v>
      </c>
      <c r="E7" s="9"/>
      <c r="F7" s="9"/>
      <c r="G7" s="4" t="s">
        <v>58</v>
      </c>
      <c r="H7" s="4" t="s">
        <v>59</v>
      </c>
    </row>
    <row r="8" spans="1:8">
      <c r="A8" s="4" t="s">
        <v>62</v>
      </c>
      <c r="B8" s="9">
        <v>4000</v>
      </c>
      <c r="C8" s="9">
        <v>75</v>
      </c>
      <c r="D8" s="9">
        <v>42</v>
      </c>
      <c r="E8" s="9"/>
      <c r="F8" s="9"/>
      <c r="G8" s="4" t="s">
        <v>58</v>
      </c>
      <c r="H8" s="4" t="s">
        <v>59</v>
      </c>
    </row>
    <row r="9" spans="1:8">
      <c r="A9" s="5" t="s">
        <v>63</v>
      </c>
      <c r="B9" s="8">
        <v>2600</v>
      </c>
      <c r="C9" s="8">
        <v>50</v>
      </c>
      <c r="D9" s="8">
        <v>154</v>
      </c>
      <c r="E9" s="8"/>
      <c r="F9" s="8"/>
      <c r="G9" s="5" t="s">
        <v>58</v>
      </c>
      <c r="H9" s="5" t="s">
        <v>59</v>
      </c>
    </row>
    <row r="11" spans="1:8">
      <c r="A11" s="1" t="s">
        <v>50</v>
      </c>
      <c r="B11" s="2" t="s">
        <v>3</v>
      </c>
    </row>
    <row r="12" spans="1:8">
      <c r="A12" s="3" t="s">
        <v>51</v>
      </c>
      <c r="B12" s="6">
        <f>MIN(B5:B9)</f>
        <v>2120</v>
      </c>
    </row>
    <row r="13" spans="1:8">
      <c r="A13" s="4" t="s">
        <v>64</v>
      </c>
      <c r="B13" s="9">
        <f>MIN(C5:C9)</f>
        <v>35</v>
      </c>
    </row>
    <row r="14" spans="1:8">
      <c r="A14" s="5" t="s">
        <v>52</v>
      </c>
      <c r="B14" s="8">
        <f>MAX(D5:D9)</f>
        <v>439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showGridLines="0" workbookViewId="0">
      <selection activeCell="A15" sqref="A15"/>
    </sheetView>
  </sheetViews>
  <sheetFormatPr defaultRowHeight="13.8"/>
  <cols>
    <col min="1" max="1" width="20" customWidth="1"/>
    <col min="2" max="2" width="34" customWidth="1"/>
    <col min="3" max="3" width="72" customWidth="1"/>
    <col min="4" max="4" width="16" customWidth="1"/>
  </cols>
  <sheetData>
    <row r="1" spans="1:4" ht="30" customHeight="1">
      <c r="A1" s="16" t="s">
        <v>65</v>
      </c>
      <c r="B1" s="16" t="s">
        <v>65</v>
      </c>
      <c r="C1" s="16" t="s">
        <v>65</v>
      </c>
      <c r="D1" s="16" t="s">
        <v>65</v>
      </c>
    </row>
    <row r="3" spans="1:4">
      <c r="A3" s="1" t="s">
        <v>66</v>
      </c>
      <c r="B3" s="7" t="s">
        <v>67</v>
      </c>
      <c r="C3" s="7" t="s">
        <v>68</v>
      </c>
      <c r="D3" s="2" t="s">
        <v>69</v>
      </c>
    </row>
    <row r="4" spans="1:4">
      <c r="A4" s="10" t="s">
        <v>70</v>
      </c>
      <c r="B4" s="11" t="s">
        <v>71</v>
      </c>
      <c r="C4" s="11" t="s">
        <v>72</v>
      </c>
      <c r="D4" s="11" t="s">
        <v>73</v>
      </c>
    </row>
    <row r="5" spans="1:4">
      <c r="A5" s="12" t="s">
        <v>70</v>
      </c>
      <c r="B5" s="13" t="s">
        <v>74</v>
      </c>
      <c r="C5" s="13" t="s">
        <v>75</v>
      </c>
      <c r="D5" s="13" t="s">
        <v>73</v>
      </c>
    </row>
    <row r="6" spans="1:4">
      <c r="A6" s="12" t="s">
        <v>76</v>
      </c>
      <c r="B6" s="13" t="s">
        <v>77</v>
      </c>
      <c r="C6" s="13" t="s">
        <v>78</v>
      </c>
      <c r="D6" s="13" t="s">
        <v>79</v>
      </c>
    </row>
    <row r="7" spans="1:4">
      <c r="A7" s="12" t="s">
        <v>80</v>
      </c>
      <c r="B7" s="13" t="s">
        <v>81</v>
      </c>
      <c r="C7" s="13" t="s">
        <v>82</v>
      </c>
      <c r="D7" s="13" t="s">
        <v>73</v>
      </c>
    </row>
    <row r="8" spans="1:4">
      <c r="A8" s="12" t="s">
        <v>83</v>
      </c>
      <c r="B8" s="13" t="s">
        <v>84</v>
      </c>
      <c r="C8" s="13" t="s">
        <v>85</v>
      </c>
      <c r="D8" s="13" t="s">
        <v>86</v>
      </c>
    </row>
    <row r="9" spans="1:4">
      <c r="A9" s="12" t="s">
        <v>87</v>
      </c>
      <c r="B9" s="13" t="s">
        <v>88</v>
      </c>
      <c r="C9" s="13" t="s">
        <v>89</v>
      </c>
      <c r="D9" s="13" t="s">
        <v>90</v>
      </c>
    </row>
    <row r="10" spans="1:4">
      <c r="A10" s="12" t="s">
        <v>91</v>
      </c>
      <c r="B10" s="13" t="s">
        <v>92</v>
      </c>
      <c r="C10" s="13" t="s">
        <v>93</v>
      </c>
      <c r="D10" s="13" t="s">
        <v>94</v>
      </c>
    </row>
    <row r="11" spans="1:4">
      <c r="A11" s="12" t="s">
        <v>95</v>
      </c>
      <c r="B11" s="13" t="s">
        <v>96</v>
      </c>
      <c r="C11" s="13" t="s">
        <v>97</v>
      </c>
      <c r="D11" s="13" t="s">
        <v>94</v>
      </c>
    </row>
    <row r="12" spans="1:4" ht="27.6">
      <c r="A12" s="14" t="s">
        <v>98</v>
      </c>
      <c r="B12" s="15" t="s">
        <v>99</v>
      </c>
      <c r="C12" s="15" t="s">
        <v>100</v>
      </c>
      <c r="D12" s="15" t="s">
        <v>101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Aircraft Requirements</vt:lpstr>
      <vt:lpstr>Paved Airports</vt:lpstr>
      <vt:lpstr>Non-Asphalt Airports</vt:lpstr>
      <vt:lpstr>Design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Natsumi Kakuda</cp:lastModifiedBy>
  <dcterms:modified xsi:type="dcterms:W3CDTF">2026-09-04T16:03:07Z</dcterms:modified>
</cp:coreProperties>
</file>