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ty/Documents/MATLAB/AircraftDesignToolbox-Feb23/MAIN/Input Excel Sheets/Mission Profiles/"/>
    </mc:Choice>
  </mc:AlternateContent>
  <xr:revisionPtr revIDLastSave="0" documentId="13_ncr:1_{CB44F0CB-55C3-5D46-AD5B-1EA084792379}" xr6:coauthVersionLast="47" xr6:coauthVersionMax="47" xr10:uidLastSave="{00000000-0000-0000-0000-000000000000}"/>
  <bookViews>
    <workbookView xWindow="0" yWindow="660" windowWidth="30240" windowHeight="17880" activeTab="1" xr2:uid="{AC12A90C-16A5-0547-A6DB-57534C200D25}"/>
  </bookViews>
  <sheets>
    <sheet name="Templates" sheetId="2" r:id="rId1"/>
    <sheet name="B717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<sst xmlns="http://schemas.openxmlformats.org/spreadsheetml/2006/main" count="82" uniqueCount="38">
  <si>
    <t>Startup/Taxi</t>
  </si>
  <si>
    <t>Weight Fraction</t>
  </si>
  <si>
    <t>Takeoff</t>
  </si>
  <si>
    <t xml:space="preserve">Altitude [ft] </t>
  </si>
  <si>
    <t>Cl Max</t>
  </si>
  <si>
    <t>Coef Friction</t>
  </si>
  <si>
    <t>CDx_TO</t>
  </si>
  <si>
    <t>Climb</t>
  </si>
  <si>
    <t>Start Altitude [ft]</t>
  </si>
  <si>
    <t>End Altitude [ft]</t>
  </si>
  <si>
    <t>Start Mach</t>
  </si>
  <si>
    <t>End Mach</t>
  </si>
  <si>
    <t>CDx_Climb</t>
  </si>
  <si>
    <t>Cruise</t>
  </si>
  <si>
    <t>Altitude [ft]</t>
  </si>
  <si>
    <t>Range [nm]</t>
  </si>
  <si>
    <t>Mach</t>
  </si>
  <si>
    <t>CDx_Cruise</t>
  </si>
  <si>
    <t>Loiter</t>
  </si>
  <si>
    <t>Loiter Time [hr]</t>
  </si>
  <si>
    <t>CDx_Loiter</t>
  </si>
  <si>
    <t>Descent</t>
  </si>
  <si>
    <t>Landing</t>
  </si>
  <si>
    <t>Drop</t>
  </si>
  <si>
    <t>Payload Dropped [lbs]</t>
  </si>
  <si>
    <t>VTOL</t>
  </si>
  <si>
    <t>Hover Time [s]</t>
  </si>
  <si>
    <t>Altitude Gain [ft]</t>
  </si>
  <si>
    <t>Segment #</t>
  </si>
  <si>
    <t>Segment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</si>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</sst>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6" fillId="3" borderId="9" xfId="0" applyFont="1" applyFill="1" applyBorder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1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4E5789-F798-4B4D-B547-EAE3329F138D}" name="Table327" displayName="Table327" ref="A1:J190" totalsRowShown="0" headerRowDxfId="18" dataDxfId="17" tableBorderDxfId="16">
  <autoFilter ref="A1:J190" xr:uid="{E9D8E600-FE9F-5C45-8634-0D6DD0E667E3}"/>
  <tableColumns count="10">
    <tableColumn id="1" xr3:uid="{48ED40D9-C8D1-4E2D-AC27-ECEAD187F98D}" name="Segment #" dataDxfId="15"/>
    <tableColumn id="2" xr3:uid="{4DEC2F1B-D965-4BE9-A5AC-87FA1047566C}" name="Segment Type" dataDxfId="14"/>
    <tableColumn id="3" xr3:uid="{41D56DDA-B1EA-4D0A-A94A-29CFF0902A35}" name="Input 1" dataDxfId="13"/>
    <tableColumn id="4" xr3:uid="{350446C2-E91E-4E91-942D-5782CFBA7AA1}" name="Input 2" dataDxfId="12"/>
    <tableColumn id="5" xr3:uid="{BC044CDF-6028-4366-84CA-F2C5103E4F00}" name="Input 3" dataDxfId="11"/>
    <tableColumn id="6" xr3:uid="{66201DDD-5C2A-4437-A52E-4012C93E8F17}" name="Input 4" dataDxfId="10"/>
    <tableColumn id="7" xr3:uid="{F1E4F340-D2A0-4E2D-AD4E-C7F87AA9A028}" name="Input 5" dataDxfId="9"/>
    <tableColumn id="8" xr3:uid="{65CA2960-6C2B-4A5E-9B27-A9B7C236D27A}" name="Input 6" dataDxfId="8"/>
    <tableColumn id="9" xr3:uid="{36C8DCBA-4B1B-4B2C-A62A-384972844C42}" name="Input 7" dataDxfId="7"/>
    <tableColumn id="10" xr3:uid="{A80F71C2-75C5-4EE8-B85D-7695CF3DA575}" name="Input 8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activeCell="C18" sqref="C18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0" t="s">
        <v>0</v>
      </c>
      <c r="B1" s="20" t="s">
        <v>1</v>
      </c>
      <c r="C1" s="14"/>
      <c r="D1" s="14"/>
      <c r="E1" s="14"/>
      <c r="F1" s="14"/>
    </row>
    <row r="2" spans="1:6" x14ac:dyDescent="0.25">
      <c r="A2" s="4"/>
      <c r="B2" s="4">
        <v>0.995</v>
      </c>
      <c r="C2" s="3"/>
      <c r="D2" s="3"/>
      <c r="E2" s="3"/>
      <c r="F2" s="3"/>
    </row>
    <row r="3" spans="1:6" x14ac:dyDescent="0.25">
      <c r="A3" s="20"/>
      <c r="B3" s="14"/>
      <c r="C3" s="14"/>
      <c r="D3" s="14"/>
      <c r="E3" s="14"/>
      <c r="F3" s="14"/>
    </row>
    <row r="4" spans="1:6" x14ac:dyDescent="0.25">
      <c r="A4" s="4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</row>
    <row r="5" spans="1:6" x14ac:dyDescent="0.25">
      <c r="A5" s="20"/>
      <c r="B5" s="14">
        <v>0</v>
      </c>
      <c r="C5" s="14">
        <v>1.5</v>
      </c>
      <c r="D5" s="14">
        <v>0.05</v>
      </c>
      <c r="E5" s="14">
        <v>0</v>
      </c>
      <c r="F5" s="14"/>
    </row>
    <row r="6" spans="1:6" x14ac:dyDescent="0.25">
      <c r="A6" s="4"/>
      <c r="B6" s="3"/>
      <c r="C6" s="3"/>
      <c r="D6" s="3"/>
      <c r="E6" s="3"/>
      <c r="F6" s="3"/>
    </row>
    <row r="7" spans="1:6" s="13" customFormat="1" x14ac:dyDescent="0.25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</row>
    <row r="8" spans="1:6" s="15" customFormat="1" x14ac:dyDescent="0.25">
      <c r="A8" s="3"/>
      <c r="B8" s="3">
        <v>0</v>
      </c>
      <c r="C8" s="3">
        <v>10000</v>
      </c>
      <c r="D8" s="3">
        <v>0.1</v>
      </c>
      <c r="E8" s="3">
        <v>0.4</v>
      </c>
      <c r="F8" s="3">
        <v>0</v>
      </c>
    </row>
    <row r="9" spans="1:6" x14ac:dyDescent="0.25">
      <c r="A9" s="20"/>
      <c r="B9" s="14"/>
      <c r="C9" s="14"/>
      <c r="D9" s="14"/>
      <c r="E9" s="14"/>
      <c r="F9" s="14"/>
    </row>
    <row r="10" spans="1:6" x14ac:dyDescent="0.2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/>
    </row>
    <row r="11" spans="1:6" x14ac:dyDescent="0.25">
      <c r="A11" s="20"/>
      <c r="B11" s="14">
        <v>38000</v>
      </c>
      <c r="C11" s="14">
        <v>2000</v>
      </c>
      <c r="D11" s="14">
        <v>0.84</v>
      </c>
      <c r="E11" s="14">
        <v>0</v>
      </c>
      <c r="F11" s="14"/>
    </row>
    <row r="12" spans="1:6" x14ac:dyDescent="0.25">
      <c r="A12" s="4"/>
      <c r="B12" s="3"/>
      <c r="C12" s="3"/>
      <c r="D12" s="3"/>
      <c r="E12" s="3"/>
      <c r="F12" s="3"/>
    </row>
    <row r="13" spans="1:6" s="13" customFormat="1" x14ac:dyDescent="0.25">
      <c r="A13" s="20" t="s">
        <v>18</v>
      </c>
      <c r="B13" s="20" t="s">
        <v>14</v>
      </c>
      <c r="C13" s="20" t="s">
        <v>19</v>
      </c>
      <c r="D13" s="20" t="s">
        <v>20</v>
      </c>
      <c r="E13" s="20"/>
      <c r="F13" s="20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0"/>
      <c r="B15" s="14"/>
      <c r="C15" s="14"/>
      <c r="D15" s="14"/>
      <c r="E15" s="14"/>
      <c r="F15" s="14"/>
    </row>
    <row r="16" spans="1:6" x14ac:dyDescent="0.25">
      <c r="A16" s="4" t="s">
        <v>21</v>
      </c>
      <c r="B16" s="3" t="s">
        <v>1</v>
      </c>
      <c r="C16" s="3"/>
      <c r="D16" s="3"/>
      <c r="E16" s="3"/>
      <c r="F16" s="3"/>
    </row>
    <row r="17" spans="1:6" x14ac:dyDescent="0.25">
      <c r="A17" s="20"/>
      <c r="B17" s="14">
        <v>0.99</v>
      </c>
      <c r="C17" s="14"/>
      <c r="D17" s="14"/>
      <c r="E17" s="14"/>
      <c r="F17" s="14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0" t="s">
        <v>22</v>
      </c>
      <c r="B19" s="20" t="s">
        <v>1</v>
      </c>
      <c r="C19" s="14"/>
      <c r="D19" s="14"/>
      <c r="E19" s="14"/>
      <c r="F19" s="14"/>
    </row>
    <row r="20" spans="1:6" x14ac:dyDescent="0.25">
      <c r="A20" s="3"/>
      <c r="B20" s="4">
        <v>0.999</v>
      </c>
      <c r="C20" s="3"/>
      <c r="D20" s="3"/>
      <c r="E20" s="3"/>
      <c r="F20" s="3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20" t="s">
        <v>23</v>
      </c>
      <c r="B22" s="14" t="s">
        <v>24</v>
      </c>
      <c r="C22" s="14"/>
      <c r="D22" s="14"/>
      <c r="E22" s="14"/>
      <c r="F22" s="14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1"/>
      <c r="B24" s="21"/>
      <c r="C24" s="21"/>
      <c r="D24" s="21"/>
      <c r="E24" s="21"/>
      <c r="F24" s="21"/>
    </row>
    <row r="25" spans="1:6" x14ac:dyDescent="0.25">
      <c r="A25" s="4" t="s">
        <v>25</v>
      </c>
      <c r="B25" s="4" t="s">
        <v>3</v>
      </c>
      <c r="C25" s="4" t="s">
        <v>26</v>
      </c>
      <c r="D25" s="4" t="s">
        <v>27</v>
      </c>
      <c r="E25" s="3"/>
      <c r="F25" s="3"/>
    </row>
    <row r="26" spans="1:6" x14ac:dyDescent="0.25">
      <c r="A26" s="21"/>
      <c r="B26" s="21">
        <v>0</v>
      </c>
      <c r="C26" s="21">
        <v>20</v>
      </c>
      <c r="D26" s="21">
        <v>250</v>
      </c>
      <c r="E26" s="21"/>
      <c r="F26" s="21"/>
    </row>
  </sheetData>
  <conditionalFormatting sqref="A25:E26">
    <cfRule type="expression" dxfId="5" priority="1">
      <formula>MOD(ROW(),2)=0</formula>
    </cfRule>
  </conditionalFormatting>
  <conditionalFormatting sqref="B1:F12 F13:F20 B15:E20 A21:F21 B22:F23">
    <cfRule type="expression" dxfId="4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CF99-3337-4918-BF8B-86AA924337D0}">
  <dimension ref="A1:J190"/>
  <sheetViews>
    <sheetView tabSelected="1" zoomScale="135" zoomScaleNormal="111" workbookViewId="0">
      <selection activeCell="E18" sqref="E18"/>
    </sheetView>
  </sheetViews>
  <sheetFormatPr baseColWidth="10" defaultColWidth="10.83203125" defaultRowHeight="18" x14ac:dyDescent="0.25"/>
  <cols>
    <col min="1" max="1" width="15.83203125" style="2" customWidth="1"/>
    <col min="2" max="2" width="16.33203125" style="2" customWidth="1"/>
    <col min="3" max="3" width="19.33203125" style="2" customWidth="1"/>
    <col min="4" max="4" width="17.33203125" style="2" customWidth="1"/>
    <col min="5" max="5" width="12.6640625" style="2" customWidth="1"/>
    <col min="6" max="6" width="13.83203125" style="2" customWidth="1"/>
    <col min="7" max="16384" width="10.83203125" style="2"/>
  </cols>
  <sheetData>
    <row r="1" spans="1:10" x14ac:dyDescent="0.25">
      <c r="A1" s="1" t="s">
        <v>28</v>
      </c>
      <c r="B1" s="1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 x14ac:dyDescent="0.25">
      <c r="A2" s="16">
        <v>1</v>
      </c>
      <c r="B2" s="16" t="s">
        <v>0</v>
      </c>
      <c r="C2" s="16" t="s">
        <v>1</v>
      </c>
      <c r="D2" s="16"/>
      <c r="E2" s="16"/>
      <c r="F2" s="18"/>
      <c r="G2" s="5"/>
      <c r="H2" s="5"/>
      <c r="I2" s="5"/>
      <c r="J2" s="7"/>
    </row>
    <row r="3" spans="1:10" x14ac:dyDescent="0.25">
      <c r="A3" s="17"/>
      <c r="B3" s="19"/>
      <c r="C3" s="19">
        <v>0.995</v>
      </c>
      <c r="D3" s="19"/>
      <c r="E3" s="19"/>
      <c r="F3" s="19"/>
      <c r="G3" s="3"/>
      <c r="H3" s="3"/>
      <c r="I3" s="3"/>
      <c r="J3" s="9"/>
    </row>
    <row r="4" spans="1:10" x14ac:dyDescent="0.25">
      <c r="A4" s="18">
        <v>2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3"/>
      <c r="H4" s="3"/>
      <c r="I4" s="3"/>
      <c r="J4" s="9"/>
    </row>
    <row r="5" spans="1:10" x14ac:dyDescent="0.25">
      <c r="A5" s="17"/>
      <c r="B5" s="19"/>
      <c r="C5" s="19">
        <v>0</v>
      </c>
      <c r="D5" s="19">
        <v>2</v>
      </c>
      <c r="E5" s="19">
        <v>0.02</v>
      </c>
      <c r="F5" s="19">
        <v>6.0000000000000001E-3</v>
      </c>
      <c r="G5" s="3"/>
      <c r="H5" s="3"/>
      <c r="I5" s="3"/>
      <c r="J5" s="9"/>
    </row>
    <row r="6" spans="1:10" x14ac:dyDescent="0.25">
      <c r="A6" s="18">
        <v>3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3" t="s">
        <v>12</v>
      </c>
      <c r="H6" s="3"/>
      <c r="I6" s="3"/>
      <c r="J6" s="9"/>
    </row>
    <row r="7" spans="1:10" x14ac:dyDescent="0.25">
      <c r="A7" s="17"/>
      <c r="B7" s="19"/>
      <c r="C7" s="19">
        <v>0</v>
      </c>
      <c r="D7" s="19">
        <v>5000</v>
      </c>
      <c r="E7" s="19">
        <v>0.1</v>
      </c>
      <c r="F7" s="19">
        <v>0.25</v>
      </c>
      <c r="G7" s="3">
        <v>0</v>
      </c>
      <c r="H7" s="3"/>
      <c r="I7" s="3"/>
      <c r="J7" s="9"/>
    </row>
    <row r="8" spans="1:10" x14ac:dyDescent="0.25">
      <c r="A8" s="18">
        <v>4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3" t="s">
        <v>12</v>
      </c>
      <c r="H8" s="3"/>
      <c r="I8" s="3"/>
      <c r="J8" s="9"/>
    </row>
    <row r="9" spans="1:10" x14ac:dyDescent="0.25">
      <c r="A9" s="17"/>
      <c r="B9" s="19"/>
      <c r="C9" s="19">
        <v>5000</v>
      </c>
      <c r="D9" s="19">
        <v>15000</v>
      </c>
      <c r="E9" s="19">
        <v>0.25</v>
      </c>
      <c r="F9" s="19">
        <v>0.54</v>
      </c>
      <c r="G9" s="3">
        <v>0</v>
      </c>
      <c r="H9" s="3"/>
      <c r="I9" s="3"/>
      <c r="J9" s="9"/>
    </row>
    <row r="10" spans="1:10" x14ac:dyDescent="0.25">
      <c r="A10" s="18">
        <v>5</v>
      </c>
      <c r="B10" s="18" t="s">
        <v>7</v>
      </c>
      <c r="C10" s="18" t="s">
        <v>8</v>
      </c>
      <c r="D10" s="18" t="s">
        <v>9</v>
      </c>
      <c r="E10" s="18" t="s">
        <v>10</v>
      </c>
      <c r="F10" s="18" t="s">
        <v>11</v>
      </c>
      <c r="G10" s="3" t="s">
        <v>12</v>
      </c>
      <c r="H10" s="3"/>
      <c r="I10" s="3"/>
      <c r="J10" s="9"/>
    </row>
    <row r="11" spans="1:10" x14ac:dyDescent="0.25">
      <c r="A11" s="17"/>
      <c r="B11" s="19"/>
      <c r="C11" s="19">
        <v>15000</v>
      </c>
      <c r="D11" s="19">
        <v>27000</v>
      </c>
      <c r="E11" s="19">
        <v>0.54</v>
      </c>
      <c r="F11" s="19">
        <v>0.61</v>
      </c>
      <c r="G11" s="3">
        <v>0</v>
      </c>
      <c r="H11" s="3"/>
      <c r="I11" s="3"/>
      <c r="J11" s="9"/>
    </row>
    <row r="12" spans="1:10" x14ac:dyDescent="0.25">
      <c r="A12" s="18">
        <v>5</v>
      </c>
      <c r="B12" s="18" t="s">
        <v>7</v>
      </c>
      <c r="C12" s="18" t="s">
        <v>8</v>
      </c>
      <c r="D12" s="18" t="s">
        <v>9</v>
      </c>
      <c r="E12" s="18" t="s">
        <v>10</v>
      </c>
      <c r="F12" s="18" t="s">
        <v>11</v>
      </c>
      <c r="G12" s="3" t="s">
        <v>12</v>
      </c>
      <c r="H12" s="3"/>
      <c r="I12" s="3"/>
      <c r="J12" s="9"/>
    </row>
    <row r="13" spans="1:10" x14ac:dyDescent="0.25">
      <c r="A13" s="17"/>
      <c r="B13" s="19"/>
      <c r="C13" s="19">
        <v>27000</v>
      </c>
      <c r="D13" s="19">
        <v>37000</v>
      </c>
      <c r="E13" s="19">
        <v>0.61</v>
      </c>
      <c r="F13" s="19">
        <v>0.71</v>
      </c>
      <c r="G13" s="3">
        <v>0</v>
      </c>
      <c r="H13" s="3"/>
      <c r="I13" s="3"/>
      <c r="J13" s="9"/>
    </row>
    <row r="14" spans="1:10" x14ac:dyDescent="0.25">
      <c r="A14" s="8">
        <v>6</v>
      </c>
      <c r="B14" s="4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/>
      <c r="H14" s="3"/>
      <c r="I14" s="3"/>
      <c r="J14" s="9"/>
    </row>
    <row r="15" spans="1:10" x14ac:dyDescent="0.25">
      <c r="A15" s="6"/>
      <c r="B15" s="22"/>
      <c r="C15" s="23">
        <v>37000</v>
      </c>
      <c r="D15" s="23">
        <v>2000</v>
      </c>
      <c r="E15" s="23">
        <v>0.71</v>
      </c>
      <c r="F15" s="23">
        <v>0</v>
      </c>
      <c r="G15" s="23"/>
      <c r="H15" s="3"/>
      <c r="I15" s="3"/>
      <c r="J15" s="9"/>
    </row>
    <row r="16" spans="1:10" x14ac:dyDescent="0.25">
      <c r="A16" s="18">
        <v>7</v>
      </c>
      <c r="B16" s="18" t="s">
        <v>21</v>
      </c>
      <c r="C16" s="18" t="s">
        <v>1</v>
      </c>
      <c r="D16" s="3"/>
      <c r="E16" s="3"/>
      <c r="F16" s="3"/>
      <c r="G16" s="3"/>
      <c r="H16" s="3"/>
      <c r="I16" s="3"/>
      <c r="J16" s="9"/>
    </row>
    <row r="17" spans="1:10" x14ac:dyDescent="0.25">
      <c r="A17" s="19"/>
      <c r="B17" s="19"/>
      <c r="C17" s="19">
        <v>0.99</v>
      </c>
      <c r="D17" s="3"/>
      <c r="E17" s="3"/>
      <c r="F17" s="3"/>
      <c r="G17" s="3"/>
      <c r="H17" s="3"/>
      <c r="I17" s="3"/>
      <c r="J17" s="9"/>
    </row>
    <row r="18" spans="1:10" x14ac:dyDescent="0.25">
      <c r="A18" s="18">
        <v>8</v>
      </c>
      <c r="B18" s="18" t="s">
        <v>22</v>
      </c>
      <c r="C18" s="18" t="s">
        <v>1</v>
      </c>
      <c r="D18" s="3"/>
      <c r="E18" s="3"/>
      <c r="F18" s="3"/>
      <c r="G18" s="3"/>
      <c r="H18" s="3"/>
      <c r="I18" s="3"/>
      <c r="J18" s="9"/>
    </row>
    <row r="19" spans="1:10" x14ac:dyDescent="0.25">
      <c r="A19" s="19"/>
      <c r="B19" s="19"/>
      <c r="C19" s="19">
        <v>0.995</v>
      </c>
      <c r="D19" s="3"/>
      <c r="E19" s="3"/>
      <c r="F19" s="3"/>
      <c r="G19" s="3"/>
      <c r="H19" s="3"/>
      <c r="I19" s="3"/>
      <c r="J19" s="9"/>
    </row>
    <row r="20" spans="1:10" x14ac:dyDescent="0.25">
      <c r="A20" s="6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10"/>
      <c r="B190" s="11"/>
      <c r="C190" s="11"/>
      <c r="D190" s="11"/>
      <c r="E190" s="11"/>
      <c r="F190" s="11"/>
      <c r="G190" s="11"/>
      <c r="H190" s="11"/>
      <c r="I190" s="11"/>
      <c r="J190" s="12"/>
    </row>
  </sheetData>
  <phoneticPr fontId="5" type="noConversion"/>
  <conditionalFormatting sqref="A1 G2:XFD9 G10:G13 H10:XFD15">
    <cfRule type="expression" dxfId="3" priority="3">
      <formula>MOD(ROW(),2)=0</formula>
    </cfRule>
  </conditionalFormatting>
  <conditionalFormatting sqref="B1 D1:J1">
    <cfRule type="expression" dxfId="2" priority="2">
      <formula>MOD(ROW(),2)=0</formula>
    </cfRule>
  </conditionalFormatting>
  <conditionalFormatting sqref="C14:G15">
    <cfRule type="expression" dxfId="1" priority="1">
      <formula>MOD(ROW(),2)=0</formula>
    </cfRule>
  </conditionalFormatting>
  <conditionalFormatting sqref="K1:XFD1 A16:XFD1048576">
    <cfRule type="expression" dxfId="0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B717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Morris</dc:creator>
  <cp:keywords/>
  <dc:description/>
  <cp:lastModifiedBy>Tyler Brining</cp:lastModifiedBy>
  <cp:revision/>
  <dcterms:created xsi:type="dcterms:W3CDTF">2024-11-07T17:59:15Z</dcterms:created>
  <dcterms:modified xsi:type="dcterms:W3CDTF">2026-09-04T16:08:14Z</dcterms:modified>
  <cp:category/>
  <cp:contentStatus/>
</cp:coreProperties>
</file>