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ircraftDesignToolbox-Feb23/MAIN/Input Excel Sheets/Mission Profiles/"/>
    </mc:Choice>
  </mc:AlternateContent>
  <xr:revisionPtr revIDLastSave="100" documentId="13_ncr:1_{7F03FA73-868E-FF44-83A6-FB5542F8BA1C}" xr6:coauthVersionLast="47" xr6:coauthVersionMax="47" xr10:uidLastSave="{7339CF3F-1849-4720-A483-4E8D0F72610F}"/>
  <bookViews>
    <workbookView minimized="1" xWindow="2268" yWindow="2268" windowWidth="17280" windowHeight="9960" activeTab="2" xr2:uid="{AC12A90C-16A5-0547-A6DB-57534C200D25}"/>
  </bookViews>
  <sheets>
    <sheet name="Templates" sheetId="2" r:id="rId1"/>
    <sheet name="MD80" sheetId="3" r:id="rId2"/>
    <sheet name="B717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F19" i="3"/>
  <c r="D15" i="3"/>
  <c r="E13" i="3"/>
  <c r="E15" i="3" s="1"/>
  <c r="C13" i="3"/>
  <c r="C15" i="3" s="1"/>
  <c r="C17" i="3"/>
  <c r="C19" i="3" s="1"/>
  <c r="D19" i="3"/>
  <c r="C11" i="3"/>
  <c r="E9" i="3"/>
  <c r="E11" i="3"/>
  <c r="F15" i="3" s="1"/>
  <c r="E17" i="3" s="1"/>
  <c r="E19" i="3" s="1"/>
  <c r="C9" i="3"/>
</calcChain>
</file>

<file path=xl/sharedStrings.xml><?xml version="1.0" encoding="utf-8"?>
<sst xmlns="http://schemas.openxmlformats.org/spreadsheetml/2006/main" count="148" uniqueCount="47">
  <si>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</si>
  <si>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</si>
  <si>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</si>
  <si>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</si>
  <si>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</si>
  <si>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</si>
  <si>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</si>
  <si>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</si>
  <si>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</si>
  <si>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</si>
  <si>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</si>
  <si>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</si>
  <si>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</si>
  <si>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</si>
  <si>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</si>
  <si>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</si>
  <si>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</si>
  <si>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</si>
  <si>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</si>
  <si>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</si>
  <si>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</si>
  <si>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</si>
  <si>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</si>
  <si>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</si>
  <si>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</si>
  <si>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</si>
  <si>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</si>
  <si>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</si>
  <si>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</si>
  <si>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</si>
  <si>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</si>
  <si>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</si>
  <si>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</si>
  <si>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</si>
  <si>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</si>
  <si>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</si>
  <si>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</si>
  <si>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</si>
  <si>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> 0.26397693</t>
  </si>
  <si>
    <t>Decent 1</t>
  </si>
  <si>
    <t>Cruise 1</t>
  </si>
  <si>
    <t>Cruise 2</t>
  </si>
  <si>
    <t>Decent 2</t>
  </si>
  <si>
    <t>Descent Final</t>
  </si>
  <si>
    <t>Climb 3</t>
  </si>
  <si>
    <t>Climb 2</t>
  </si>
  <si>
    <t>Climb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</si>
</sst>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  <font>
      <b/>
      <sz val="12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4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6" fillId="3" borderId="9" xfId="0" applyFont="1" applyFill="1" applyBorder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8" fillId="0" borderId="0" xfId="0" applyFont="1"/>
    <xf numFmtId="0" fontId="9" fillId="5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6" fillId="0" borderId="12" xfId="0" applyFont="1" applyBorder="1"/>
    <xf numFmtId="0" fontId="7" fillId="0" borderId="12" xfId="0" applyFont="1" applyBorder="1"/>
    <xf numFmtId="0" fontId="2" fillId="2" borderId="5" xfId="0" applyFont="1" applyFill="1" applyBorder="1"/>
    <xf numFmtId="0" fontId="1" fillId="2" borderId="4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2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196" totalsRowShown="0" headerRowDxfId="21" dataDxfId="20" tableBorderDxfId="19">
  <autoFilter ref="A1:J196" xr:uid="{E9D8E600-FE9F-5C45-8634-0D6DD0E667E3}"/>
  <tableColumns count="10">
    <tableColumn id="1" xr3:uid="{238E6AD2-3D26-8E46-BC2A-ED22F701D26C}" name="Segment #" dataDxfId="18"/>
    <tableColumn id="2" xr3:uid="{EF523A95-70C3-F04A-BBD7-6188BC65AFE2}" name="Segment Type" dataDxfId="17"/>
    <tableColumn id="3" xr3:uid="{93FD7BD7-E7F6-FD41-9C20-A13BEBF0061F}" name="Input 1" dataDxfId="16"/>
    <tableColumn id="4" xr3:uid="{56AE60CA-B686-D747-BDCE-306D07D3398F}" name="Input 2" dataDxfId="15"/>
    <tableColumn id="5" xr3:uid="{65666244-440C-2D44-BBAB-32E73BE4DFFC}" name="Input 3" dataDxfId="14"/>
    <tableColumn id="6" xr3:uid="{722A5B16-263F-7447-968B-F8797F2D5327}" name="Input 4" dataDxfId="13"/>
    <tableColumn id="7" xr3:uid="{AEBEC522-560B-E147-893B-457A284D8CD1}" name="Input 5" dataDxfId="12"/>
    <tableColumn id="8" xr3:uid="{BCF70B12-8E6D-A44F-8571-6850F8D2FCC0}" name="Input 6" dataDxfId="11"/>
    <tableColumn id="9" xr3:uid="{DD713BDF-FD97-5F46-ACBD-E10979DBAB9A}" name="Input 7" dataDxfId="10"/>
    <tableColumn id="10" xr3:uid="{154AD48E-C823-2142-822C-D07E802BABBB}" name="Input 8" dataDxfId="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activeCell="B16" sqref="B1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4" t="s">
        <v>15</v>
      </c>
      <c r="B1" s="17" t="s">
        <v>16</v>
      </c>
      <c r="C1" s="14"/>
      <c r="D1" s="14"/>
      <c r="E1" s="14"/>
      <c r="F1" s="14"/>
    </row>
    <row r="2" spans="1:6" ht="15.6">
      <c r="A2" s="4"/>
      <c r="B2" s="18">
        <v>0.995</v>
      </c>
      <c r="C2" s="3"/>
      <c r="D2" s="3"/>
      <c r="E2" s="3"/>
      <c r="F2" s="3"/>
    </row>
    <row r="3" spans="1:6" ht="15.6">
      <c r="A3" s="24"/>
      <c r="B3" s="14"/>
      <c r="C3" s="14"/>
      <c r="D3" s="14"/>
      <c r="E3" s="14"/>
      <c r="F3" s="14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4"/>
      <c r="B5" s="14">
        <v>0</v>
      </c>
      <c r="C5" s="14">
        <v>1.5</v>
      </c>
      <c r="D5" s="14">
        <v>0.05</v>
      </c>
      <c r="E5" s="14">
        <v>0</v>
      </c>
      <c r="F5" s="14"/>
    </row>
    <row r="6" spans="1:6" ht="15.6">
      <c r="A6" s="4"/>
      <c r="B6" s="3"/>
      <c r="C6" s="3"/>
      <c r="D6" s="3"/>
      <c r="E6" s="3"/>
      <c r="F6" s="3"/>
    </row>
    <row r="7" spans="1:6" s="13" customFormat="1" ht="15.6">
      <c r="A7" s="17" t="s">
        <v>4</v>
      </c>
      <c r="B7" s="17" t="s">
        <v>8</v>
      </c>
      <c r="C7" s="17" t="s">
        <v>9</v>
      </c>
      <c r="D7" s="17" t="s">
        <v>6</v>
      </c>
      <c r="E7" s="17" t="s">
        <v>7</v>
      </c>
      <c r="F7" s="17" t="s">
        <v>32</v>
      </c>
    </row>
    <row r="8" spans="1:6" s="15" customFormat="1">
      <c r="A8" s="19"/>
      <c r="B8" s="19">
        <v>0</v>
      </c>
      <c r="C8" s="19">
        <v>10000</v>
      </c>
      <c r="D8" s="19">
        <v>0.1</v>
      </c>
      <c r="E8" s="19">
        <v>0.4</v>
      </c>
      <c r="F8" s="19">
        <v>0</v>
      </c>
    </row>
    <row r="9" spans="1:6" ht="15.6">
      <c r="A9" s="24"/>
      <c r="B9" s="14"/>
      <c r="C9" s="14"/>
      <c r="D9" s="14"/>
      <c r="E9" s="14"/>
      <c r="F9" s="14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4"/>
      <c r="B11" s="14">
        <v>38000</v>
      </c>
      <c r="C11" s="14">
        <v>2000</v>
      </c>
      <c r="D11" s="14">
        <v>0.84</v>
      </c>
      <c r="E11" s="14">
        <v>0</v>
      </c>
      <c r="F11" s="14"/>
    </row>
    <row r="12" spans="1:6" ht="15.6">
      <c r="A12" s="4"/>
      <c r="B12" s="3"/>
      <c r="C12" s="3"/>
      <c r="D12" s="3"/>
      <c r="E12" s="3"/>
      <c r="F12" s="3"/>
    </row>
    <row r="13" spans="1:6" s="13" customFormat="1" ht="15.6">
      <c r="A13" s="17" t="s">
        <v>12</v>
      </c>
      <c r="B13" s="17" t="s">
        <v>5</v>
      </c>
      <c r="C13" s="17" t="s">
        <v>13</v>
      </c>
      <c r="D13" s="17" t="s">
        <v>34</v>
      </c>
      <c r="E13" s="17"/>
      <c r="F13" s="17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4"/>
      <c r="B15" s="14"/>
      <c r="C15" s="14"/>
      <c r="D15" s="14"/>
      <c r="E15" s="14"/>
      <c r="F15" s="14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4"/>
      <c r="B17" s="14">
        <v>0.99</v>
      </c>
      <c r="C17" s="14"/>
      <c r="D17" s="14"/>
      <c r="E17" s="14"/>
      <c r="F17" s="14"/>
    </row>
    <row r="18" spans="1:6" ht="15.6">
      <c r="A18" s="4"/>
      <c r="B18" s="3"/>
      <c r="C18" s="3"/>
      <c r="D18" s="3"/>
      <c r="E18" s="3"/>
      <c r="F18" s="3"/>
    </row>
    <row r="19" spans="1:6" ht="15.6">
      <c r="A19" s="24" t="s">
        <v>27</v>
      </c>
      <c r="B19" s="17" t="s">
        <v>16</v>
      </c>
      <c r="C19" s="14"/>
      <c r="D19" s="14"/>
      <c r="E19" s="14"/>
      <c r="F19" s="14"/>
    </row>
    <row r="20" spans="1:6" ht="15.6">
      <c r="A20" s="3"/>
      <c r="B20" s="18">
        <v>0.999</v>
      </c>
      <c r="C20" s="3"/>
      <c r="D20" s="3"/>
      <c r="E20" s="3"/>
      <c r="F20" s="3"/>
    </row>
    <row r="21" spans="1:6">
      <c r="A21" s="14"/>
      <c r="B21" s="14"/>
      <c r="C21" s="14"/>
      <c r="D21" s="14"/>
      <c r="E21" s="14"/>
      <c r="F21" s="14"/>
    </row>
    <row r="22" spans="1:6" ht="15.6">
      <c r="A22" s="24" t="s">
        <v>28</v>
      </c>
      <c r="B22" s="14" t="s">
        <v>29</v>
      </c>
      <c r="C22" s="14"/>
      <c r="D22" s="14"/>
      <c r="E22" s="14"/>
      <c r="F22" s="14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5"/>
      <c r="B24" s="25"/>
      <c r="C24" s="25"/>
      <c r="D24" s="25"/>
      <c r="E24" s="25"/>
      <c r="F24" s="25"/>
    </row>
    <row r="25" spans="1:6" ht="15.6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>
      <c r="A26" s="25"/>
      <c r="B26" s="25">
        <v>0</v>
      </c>
      <c r="C26" s="25">
        <v>20</v>
      </c>
      <c r="D26" s="25">
        <v>250</v>
      </c>
      <c r="E26" s="25"/>
      <c r="F26" s="25"/>
    </row>
  </sheetData>
  <conditionalFormatting sqref="A25:E26">
    <cfRule type="expression" dxfId="8" priority="1">
      <formula>MOD(ROW(),2)=0</formula>
    </cfRule>
  </conditionalFormatting>
  <conditionalFormatting sqref="B1:F12 F13:F20 B15:E20 A21:F21 B22:F23">
    <cfRule type="expression" dxfId="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196"/>
  <sheetViews>
    <sheetView zoomScale="135" zoomScaleNormal="111" workbookViewId="0">
      <selection activeCell="D24" sqref="D24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20">
        <v>1</v>
      </c>
      <c r="B2" s="20" t="s">
        <v>15</v>
      </c>
      <c r="C2" s="20" t="s">
        <v>16</v>
      </c>
      <c r="D2" s="20"/>
      <c r="E2" s="20"/>
      <c r="F2" s="22"/>
      <c r="G2" s="5"/>
      <c r="H2" s="5"/>
      <c r="I2" s="5"/>
      <c r="J2" s="7"/>
    </row>
    <row r="3" spans="1:10" ht="15.6">
      <c r="A3" s="21"/>
      <c r="B3" s="23"/>
      <c r="C3" s="23">
        <v>0.995</v>
      </c>
      <c r="D3" s="23"/>
      <c r="E3" s="23"/>
      <c r="F3" s="23"/>
      <c r="G3" s="3"/>
      <c r="H3" s="3"/>
      <c r="I3" s="3"/>
      <c r="J3" s="9"/>
    </row>
    <row r="4" spans="1:10" ht="15.6">
      <c r="A4" s="22">
        <v>2</v>
      </c>
      <c r="B4" s="22" t="s">
        <v>0</v>
      </c>
      <c r="C4" s="22" t="s">
        <v>1</v>
      </c>
      <c r="D4" s="22" t="s">
        <v>2</v>
      </c>
      <c r="E4" s="22" t="s">
        <v>3</v>
      </c>
      <c r="F4" s="22" t="s">
        <v>31</v>
      </c>
      <c r="G4" s="3"/>
      <c r="H4" s="3"/>
      <c r="I4" s="3"/>
      <c r="J4" s="9"/>
    </row>
    <row r="5" spans="1:10" ht="15.6">
      <c r="A5" s="21"/>
      <c r="B5" s="23"/>
      <c r="C5" s="23">
        <v>0</v>
      </c>
      <c r="D5" s="23">
        <v>1.8</v>
      </c>
      <c r="E5" s="23">
        <v>0.02</v>
      </c>
      <c r="F5">
        <v>0.05</v>
      </c>
      <c r="G5" s="3"/>
      <c r="H5" s="3"/>
      <c r="I5" s="3"/>
      <c r="J5" s="9"/>
    </row>
    <row r="6" spans="1:10" ht="15.6">
      <c r="A6" s="22">
        <v>3</v>
      </c>
      <c r="B6" s="22" t="s">
        <v>46</v>
      </c>
      <c r="C6" s="22" t="s">
        <v>8</v>
      </c>
      <c r="D6" s="22" t="s">
        <v>9</v>
      </c>
      <c r="E6" s="22" t="s">
        <v>6</v>
      </c>
      <c r="F6" s="22" t="s">
        <v>7</v>
      </c>
      <c r="G6" s="3" t="s">
        <v>32</v>
      </c>
      <c r="H6" s="3"/>
      <c r="I6" s="3"/>
      <c r="J6" s="9"/>
    </row>
    <row r="7" spans="1:10" ht="16.8">
      <c r="A7" s="21"/>
      <c r="B7" s="23"/>
      <c r="C7" s="23">
        <v>0</v>
      </c>
      <c r="D7" s="23">
        <v>5000</v>
      </c>
      <c r="E7" s="26">
        <v>0.21739275999999999</v>
      </c>
      <c r="F7" s="26" t="s">
        <v>38</v>
      </c>
      <c r="G7" s="3">
        <v>0</v>
      </c>
      <c r="H7" s="3"/>
      <c r="I7" s="3"/>
      <c r="J7" s="9"/>
    </row>
    <row r="8" spans="1:10" ht="15.6">
      <c r="A8" s="22">
        <v>4</v>
      </c>
      <c r="B8" s="22" t="s">
        <v>45</v>
      </c>
      <c r="C8" s="22" t="s">
        <v>8</v>
      </c>
      <c r="D8" s="22" t="s">
        <v>9</v>
      </c>
      <c r="E8" s="22" t="s">
        <v>6</v>
      </c>
      <c r="F8" s="22" t="s">
        <v>7</v>
      </c>
      <c r="G8" s="3" t="s">
        <v>32</v>
      </c>
      <c r="H8" s="3"/>
      <c r="I8" s="3"/>
      <c r="J8" s="9"/>
    </row>
    <row r="9" spans="1:10" ht="16.8">
      <c r="A9" s="21"/>
      <c r="B9" s="23"/>
      <c r="C9" s="23">
        <f>D7</f>
        <v>5000</v>
      </c>
      <c r="D9" s="23">
        <v>15000</v>
      </c>
      <c r="E9" s="23" t="str">
        <f>F7</f>
        <v> 0.26397693</v>
      </c>
      <c r="F9" s="26">
        <v>0.38820136</v>
      </c>
      <c r="G9" s="3">
        <v>0</v>
      </c>
      <c r="H9" s="3"/>
      <c r="I9" s="3"/>
      <c r="J9" s="9"/>
    </row>
    <row r="10" spans="1:10" ht="15.6">
      <c r="A10" s="22">
        <v>5</v>
      </c>
      <c r="B10" s="22" t="s">
        <v>44</v>
      </c>
      <c r="C10" s="22" t="s">
        <v>8</v>
      </c>
      <c r="D10" s="22" t="s">
        <v>9</v>
      </c>
      <c r="E10" s="22" t="s">
        <v>6</v>
      </c>
      <c r="F10" s="22" t="s">
        <v>7</v>
      </c>
      <c r="G10" s="3" t="s">
        <v>32</v>
      </c>
      <c r="H10" s="3"/>
      <c r="I10" s="3"/>
      <c r="J10" s="9"/>
    </row>
    <row r="11" spans="1:10" ht="15.6">
      <c r="A11" s="21"/>
      <c r="B11" s="23"/>
      <c r="C11" s="23">
        <f>D9</f>
        <v>15000</v>
      </c>
      <c r="D11" s="23">
        <v>37000</v>
      </c>
      <c r="E11" s="23">
        <f>F9</f>
        <v>0.38820136</v>
      </c>
      <c r="F11" s="23">
        <v>0.75</v>
      </c>
      <c r="G11" s="3">
        <v>0</v>
      </c>
      <c r="H11" s="3"/>
      <c r="I11" s="3"/>
      <c r="J11" s="9"/>
    </row>
    <row r="12" spans="1:10" ht="15.6">
      <c r="A12" s="22">
        <v>7</v>
      </c>
      <c r="B12" s="22" t="s">
        <v>40</v>
      </c>
      <c r="C12" s="22" t="s">
        <v>5</v>
      </c>
      <c r="D12" s="22" t="s">
        <v>17</v>
      </c>
      <c r="E12" s="22" t="s">
        <v>11</v>
      </c>
      <c r="F12" s="22" t="s">
        <v>33</v>
      </c>
      <c r="G12" s="3"/>
      <c r="H12" s="3"/>
      <c r="I12" s="3"/>
      <c r="J12" s="9"/>
    </row>
    <row r="13" spans="1:10" ht="15.6">
      <c r="A13" s="21"/>
      <c r="B13" s="23"/>
      <c r="C13" s="23">
        <f>D11</f>
        <v>37000</v>
      </c>
      <c r="D13" s="23">
        <v>1000</v>
      </c>
      <c r="E13" s="23">
        <f>F11</f>
        <v>0.75</v>
      </c>
      <c r="F13" s="23">
        <v>0</v>
      </c>
      <c r="G13" s="3"/>
      <c r="H13" s="3"/>
      <c r="I13" s="3"/>
      <c r="J13" s="9"/>
    </row>
    <row r="14" spans="1:10" ht="15.6">
      <c r="A14" s="22">
        <v>8</v>
      </c>
      <c r="B14" s="22" t="s">
        <v>39</v>
      </c>
      <c r="C14" s="22" t="s">
        <v>8</v>
      </c>
      <c r="D14" s="22" t="s">
        <v>9</v>
      </c>
      <c r="E14" s="22" t="s">
        <v>6</v>
      </c>
      <c r="F14" s="22" t="s">
        <v>7</v>
      </c>
      <c r="G14" s="3" t="s">
        <v>32</v>
      </c>
      <c r="H14" s="3"/>
      <c r="I14" s="3"/>
      <c r="J14" s="9"/>
    </row>
    <row r="15" spans="1:10" ht="15.6">
      <c r="A15" s="21"/>
      <c r="B15" s="23"/>
      <c r="C15" s="23">
        <f>C13</f>
        <v>37000</v>
      </c>
      <c r="D15" s="23">
        <f>C11</f>
        <v>15000</v>
      </c>
      <c r="E15" s="23">
        <f>E13</f>
        <v>0.75</v>
      </c>
      <c r="F15" s="23">
        <f>E11</f>
        <v>0.38820136</v>
      </c>
      <c r="G15" s="3">
        <v>0</v>
      </c>
      <c r="H15" s="3"/>
      <c r="I15" s="3"/>
      <c r="J15" s="9"/>
    </row>
    <row r="16" spans="1:10" ht="15.6">
      <c r="A16" s="22">
        <v>9</v>
      </c>
      <c r="B16" s="22" t="s">
        <v>41</v>
      </c>
      <c r="C16" s="22" t="s">
        <v>5</v>
      </c>
      <c r="D16" s="22" t="s">
        <v>17</v>
      </c>
      <c r="E16" s="22" t="s">
        <v>11</v>
      </c>
      <c r="F16" s="22" t="s">
        <v>33</v>
      </c>
      <c r="G16" s="3"/>
      <c r="H16" s="3"/>
      <c r="I16" s="3"/>
      <c r="J16" s="9"/>
    </row>
    <row r="17" spans="1:10" ht="15.6">
      <c r="A17" s="21"/>
      <c r="B17" s="23"/>
      <c r="C17" s="23">
        <f>D15</f>
        <v>15000</v>
      </c>
      <c r="D17" s="23">
        <v>1000</v>
      </c>
      <c r="E17" s="23">
        <f>F15</f>
        <v>0.38820136</v>
      </c>
      <c r="F17" s="23">
        <v>0</v>
      </c>
      <c r="G17" s="3"/>
      <c r="H17" s="3"/>
      <c r="I17" s="3"/>
      <c r="J17" s="9"/>
    </row>
    <row r="18" spans="1:10" ht="15.6">
      <c r="A18" s="22">
        <v>10</v>
      </c>
      <c r="B18" s="22" t="s">
        <v>42</v>
      </c>
      <c r="C18" s="22" t="s">
        <v>8</v>
      </c>
      <c r="D18" s="22" t="s">
        <v>9</v>
      </c>
      <c r="E18" s="22" t="s">
        <v>6</v>
      </c>
      <c r="F18" s="22" t="s">
        <v>7</v>
      </c>
      <c r="G18" s="3" t="s">
        <v>32</v>
      </c>
      <c r="H18" s="3"/>
      <c r="I18" s="3"/>
      <c r="J18" s="9"/>
    </row>
    <row r="19" spans="1:10" ht="15.6">
      <c r="A19" s="21"/>
      <c r="B19" s="23"/>
      <c r="C19" s="23">
        <f>C17</f>
        <v>15000</v>
      </c>
      <c r="D19" s="23">
        <f>D7</f>
        <v>5000</v>
      </c>
      <c r="E19" s="23">
        <f>E17</f>
        <v>0.38820136</v>
      </c>
      <c r="F19" s="23" t="str">
        <f>F7</f>
        <v> 0.26397693</v>
      </c>
      <c r="G19" s="3">
        <v>0</v>
      </c>
      <c r="H19" s="3"/>
      <c r="I19" s="3"/>
      <c r="J19" s="9"/>
    </row>
    <row r="20" spans="1:10" ht="15.6">
      <c r="A20" s="8">
        <v>12</v>
      </c>
      <c r="B20" s="16" t="s">
        <v>12</v>
      </c>
      <c r="C20" s="17" t="s">
        <v>5</v>
      </c>
      <c r="D20" s="17" t="s">
        <v>13</v>
      </c>
      <c r="E20" s="17" t="s">
        <v>34</v>
      </c>
      <c r="F20" s="22"/>
      <c r="G20" s="3"/>
      <c r="H20" s="3"/>
      <c r="I20" s="3"/>
      <c r="J20" s="9"/>
    </row>
    <row r="21" spans="1:10" ht="15.6">
      <c r="A21" s="6"/>
      <c r="B21" s="8"/>
      <c r="C21" s="3">
        <f>D19</f>
        <v>5000</v>
      </c>
      <c r="D21" s="3">
        <v>0.5</v>
      </c>
      <c r="E21" s="3">
        <v>0</v>
      </c>
      <c r="F21" s="23"/>
      <c r="G21" s="3"/>
      <c r="H21" s="3"/>
      <c r="I21" s="3"/>
      <c r="J21" s="9"/>
    </row>
    <row r="22" spans="1:10" ht="15.6">
      <c r="A22" s="22">
        <v>13</v>
      </c>
      <c r="B22" s="22" t="s">
        <v>43</v>
      </c>
      <c r="C22" s="22" t="s">
        <v>16</v>
      </c>
      <c r="D22" s="3"/>
      <c r="E22" s="3"/>
      <c r="F22" s="3"/>
      <c r="G22" s="3"/>
      <c r="H22" s="3"/>
      <c r="I22" s="3"/>
      <c r="J22" s="9"/>
    </row>
    <row r="23" spans="1:10">
      <c r="A23" s="23"/>
      <c r="B23" s="23"/>
      <c r="C23" s="23">
        <v>0.995</v>
      </c>
      <c r="D23" s="3"/>
      <c r="E23" s="3"/>
      <c r="F23" s="3"/>
      <c r="G23" s="3"/>
      <c r="H23" s="3"/>
      <c r="I23" s="3"/>
      <c r="J23" s="9"/>
    </row>
    <row r="24" spans="1:10" ht="15.6">
      <c r="A24" s="22">
        <v>14</v>
      </c>
      <c r="B24" s="22" t="s">
        <v>27</v>
      </c>
      <c r="C24" s="22" t="s">
        <v>16</v>
      </c>
      <c r="D24" s="3"/>
      <c r="E24" s="3"/>
      <c r="F24" s="3"/>
      <c r="G24" s="3"/>
      <c r="H24" s="3"/>
      <c r="I24" s="3"/>
      <c r="J24" s="9"/>
    </row>
    <row r="25" spans="1:10">
      <c r="A25" s="23"/>
      <c r="B25" s="23"/>
      <c r="C25" s="23">
        <v>0.995</v>
      </c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10"/>
      <c r="B196" s="11"/>
      <c r="C196" s="11"/>
      <c r="D196" s="11"/>
      <c r="E196" s="11"/>
      <c r="F196" s="11"/>
      <c r="G196" s="11"/>
      <c r="H196" s="11"/>
      <c r="I196" s="11"/>
      <c r="J196" s="12"/>
    </row>
  </sheetData>
  <phoneticPr fontId="5" type="noConversion"/>
  <conditionalFormatting sqref="A1 G2:XFD21">
    <cfRule type="expression" dxfId="6" priority="2">
      <formula>MOD(ROW(),2)=0</formula>
    </cfRule>
  </conditionalFormatting>
  <conditionalFormatting sqref="B1 D1:J1">
    <cfRule type="expression" dxfId="5" priority="1">
      <formula>MOD(ROW(),2)=0</formula>
    </cfRule>
  </conditionalFormatting>
  <conditionalFormatting sqref="K1:XFD1 A22:XFD1048576">
    <cfRule type="expression" dxfId="4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D70-AEDB-49E7-812A-3DF280E6A32E}">
  <dimension ref="A1:J182"/>
  <sheetViews>
    <sheetView tabSelected="1" workbookViewId="0">
      <selection activeCell="K7" sqref="K7"/>
    </sheetView>
  </sheetViews>
  <sheetFormatPr defaultRowHeight="15.6"/>
  <cols>
    <col min="1" max="1" width="10.8984375" bestFit="1" customWidth="1"/>
    <col min="2" max="2" width="14.59765625" bestFit="1" customWidth="1"/>
    <col min="3" max="3" width="16.796875" bestFit="1" customWidth="1"/>
    <col min="4" max="4" width="15.8984375" bestFit="1" customWidth="1"/>
    <col min="5" max="5" width="13.19921875" bestFit="1" customWidth="1"/>
    <col min="6" max="6" width="12" bestFit="1" customWidth="1"/>
    <col min="7" max="7" width="11.19921875" bestFit="1" customWidth="1"/>
    <col min="8" max="10" width="7.3984375" bestFit="1" customWidth="1"/>
  </cols>
  <sheetData>
    <row r="1" spans="1:10" ht="16.2" thickBot="1">
      <c r="A1" s="27" t="s">
        <v>30</v>
      </c>
      <c r="B1" s="27" t="s">
        <v>14</v>
      </c>
      <c r="C1" s="27" t="s">
        <v>18</v>
      </c>
      <c r="D1" s="27" t="s">
        <v>19</v>
      </c>
      <c r="E1" s="27" t="s">
        <v>20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</row>
    <row r="2" spans="1:10">
      <c r="A2" s="28">
        <v>1</v>
      </c>
      <c r="B2" s="28" t="s">
        <v>15</v>
      </c>
      <c r="C2" s="28" t="s">
        <v>16</v>
      </c>
      <c r="D2" s="28"/>
      <c r="E2" s="28"/>
      <c r="F2" s="29"/>
      <c r="G2" s="30"/>
      <c r="H2" s="30"/>
      <c r="I2" s="30"/>
      <c r="J2" s="31"/>
    </row>
    <row r="3" spans="1:10">
      <c r="A3" s="32"/>
      <c r="B3" s="33"/>
      <c r="C3" s="33">
        <v>0.995</v>
      </c>
      <c r="D3" s="33"/>
      <c r="E3" s="33"/>
      <c r="F3" s="33"/>
      <c r="G3" s="3"/>
      <c r="H3" s="3"/>
      <c r="I3" s="3"/>
      <c r="J3" s="9"/>
    </row>
    <row r="4" spans="1:10">
      <c r="A4" s="29">
        <v>2</v>
      </c>
      <c r="B4" s="29" t="s">
        <v>0</v>
      </c>
      <c r="C4" s="29" t="s">
        <v>1</v>
      </c>
      <c r="D4" s="29" t="s">
        <v>2</v>
      </c>
      <c r="E4" s="29" t="s">
        <v>3</v>
      </c>
      <c r="F4" s="29" t="s">
        <v>31</v>
      </c>
      <c r="G4" s="14"/>
      <c r="H4" s="14"/>
      <c r="I4" s="14"/>
      <c r="J4" s="34"/>
    </row>
    <row r="5" spans="1:10">
      <c r="A5" s="32"/>
      <c r="B5" s="33"/>
      <c r="C5" s="33">
        <v>0</v>
      </c>
      <c r="D5" s="33">
        <v>2</v>
      </c>
      <c r="E5" s="33">
        <v>0.02</v>
      </c>
      <c r="F5" s="33">
        <v>6.0000000000000001E-3</v>
      </c>
      <c r="G5" s="3"/>
      <c r="H5" s="3"/>
      <c r="I5" s="3"/>
      <c r="J5" s="9"/>
    </row>
    <row r="6" spans="1:10">
      <c r="A6" s="29">
        <v>3</v>
      </c>
      <c r="B6" s="29" t="s">
        <v>4</v>
      </c>
      <c r="C6" s="29" t="s">
        <v>8</v>
      </c>
      <c r="D6" s="29" t="s">
        <v>9</v>
      </c>
      <c r="E6" s="29" t="s">
        <v>6</v>
      </c>
      <c r="F6" s="29" t="s">
        <v>7</v>
      </c>
      <c r="G6" s="14" t="s">
        <v>32</v>
      </c>
      <c r="H6" s="14"/>
      <c r="I6" s="14"/>
      <c r="J6" s="34"/>
    </row>
    <row r="7" spans="1:10">
      <c r="A7" s="32"/>
      <c r="B7" s="33"/>
      <c r="C7" s="33">
        <v>0</v>
      </c>
      <c r="D7" s="33">
        <v>5000</v>
      </c>
      <c r="E7" s="33">
        <v>0.1</v>
      </c>
      <c r="F7" s="33">
        <v>0.25</v>
      </c>
      <c r="G7" s="3">
        <v>0</v>
      </c>
      <c r="H7" s="3"/>
      <c r="I7" s="3"/>
      <c r="J7" s="9"/>
    </row>
    <row r="8" spans="1:10">
      <c r="A8" s="29">
        <v>4</v>
      </c>
      <c r="B8" s="29" t="s">
        <v>4</v>
      </c>
      <c r="C8" s="29" t="s">
        <v>8</v>
      </c>
      <c r="D8" s="29" t="s">
        <v>9</v>
      </c>
      <c r="E8" s="29" t="s">
        <v>6</v>
      </c>
      <c r="F8" s="29" t="s">
        <v>7</v>
      </c>
      <c r="G8" s="14" t="s">
        <v>32</v>
      </c>
      <c r="H8" s="14"/>
      <c r="I8" s="14"/>
      <c r="J8" s="34"/>
    </row>
    <row r="9" spans="1:10">
      <c r="A9" s="32"/>
      <c r="B9" s="33"/>
      <c r="C9" s="33">
        <v>5000</v>
      </c>
      <c r="D9" s="33">
        <v>15000</v>
      </c>
      <c r="E9" s="33">
        <v>0.25</v>
      </c>
      <c r="F9" s="33">
        <v>0.54</v>
      </c>
      <c r="G9" s="3">
        <v>0</v>
      </c>
      <c r="H9" s="3"/>
      <c r="I9" s="3"/>
      <c r="J9" s="9"/>
    </row>
    <row r="10" spans="1:10">
      <c r="A10" s="29">
        <v>5</v>
      </c>
      <c r="B10" s="29" t="s">
        <v>4</v>
      </c>
      <c r="C10" s="29" t="s">
        <v>8</v>
      </c>
      <c r="D10" s="29" t="s">
        <v>9</v>
      </c>
      <c r="E10" s="29" t="s">
        <v>6</v>
      </c>
      <c r="F10" s="29" t="s">
        <v>7</v>
      </c>
      <c r="G10" s="14" t="s">
        <v>32</v>
      </c>
      <c r="H10" s="14"/>
      <c r="I10" s="14"/>
      <c r="J10" s="34"/>
    </row>
    <row r="11" spans="1:10">
      <c r="A11" s="32"/>
      <c r="B11" s="33"/>
      <c r="C11" s="33">
        <v>15000</v>
      </c>
      <c r="D11" s="33">
        <v>27000</v>
      </c>
      <c r="E11" s="33">
        <v>0.54</v>
      </c>
      <c r="F11" s="33">
        <v>0.61</v>
      </c>
      <c r="G11" s="3">
        <v>0</v>
      </c>
      <c r="H11" s="3"/>
      <c r="I11" s="3"/>
      <c r="J11" s="9"/>
    </row>
    <row r="12" spans="1:10">
      <c r="A12" s="29">
        <v>5</v>
      </c>
      <c r="B12" s="29" t="s">
        <v>4</v>
      </c>
      <c r="C12" s="29" t="s">
        <v>8</v>
      </c>
      <c r="D12" s="29" t="s">
        <v>9</v>
      </c>
      <c r="E12" s="29" t="s">
        <v>6</v>
      </c>
      <c r="F12" s="29" t="s">
        <v>7</v>
      </c>
      <c r="G12" s="14" t="s">
        <v>32</v>
      </c>
      <c r="H12" s="14"/>
      <c r="I12" s="14"/>
      <c r="J12" s="34"/>
    </row>
    <row r="13" spans="1:10">
      <c r="A13" s="32"/>
      <c r="B13" s="33"/>
      <c r="C13" s="33">
        <v>27000</v>
      </c>
      <c r="D13" s="33">
        <v>37000</v>
      </c>
      <c r="E13" s="33">
        <v>0.61</v>
      </c>
      <c r="F13" s="33">
        <v>0.71</v>
      </c>
      <c r="G13" s="3">
        <v>0</v>
      </c>
      <c r="H13" s="3"/>
      <c r="I13" s="3"/>
      <c r="J13" s="9"/>
    </row>
    <row r="14" spans="1:10">
      <c r="A14" s="35">
        <v>6</v>
      </c>
      <c r="B14" s="24" t="s">
        <v>10</v>
      </c>
      <c r="C14" s="14" t="s">
        <v>5</v>
      </c>
      <c r="D14" s="14" t="s">
        <v>17</v>
      </c>
      <c r="E14" s="14" t="s">
        <v>11</v>
      </c>
      <c r="F14" s="14" t="s">
        <v>33</v>
      </c>
      <c r="G14" s="14"/>
      <c r="H14" s="14"/>
      <c r="I14" s="14"/>
      <c r="J14" s="34"/>
    </row>
    <row r="15" spans="1:10">
      <c r="A15" s="6"/>
      <c r="B15" s="36"/>
      <c r="C15" s="37">
        <v>37000</v>
      </c>
      <c r="D15" s="37">
        <v>2000</v>
      </c>
      <c r="E15" s="37">
        <v>0.71</v>
      </c>
      <c r="F15" s="37">
        <v>0</v>
      </c>
      <c r="G15" s="37"/>
      <c r="H15" s="3"/>
      <c r="I15" s="3"/>
      <c r="J15" s="9"/>
    </row>
    <row r="16" spans="1:10">
      <c r="A16" s="29">
        <v>7</v>
      </c>
      <c r="B16" s="29" t="s">
        <v>26</v>
      </c>
      <c r="C16" s="29" t="s">
        <v>16</v>
      </c>
      <c r="D16" s="14"/>
      <c r="E16" s="14"/>
      <c r="F16" s="14"/>
      <c r="G16" s="14"/>
      <c r="H16" s="14"/>
      <c r="I16" s="14"/>
      <c r="J16" s="34"/>
    </row>
    <row r="17" spans="1:10">
      <c r="A17" s="33"/>
      <c r="B17" s="33"/>
      <c r="C17" s="33">
        <v>0.99</v>
      </c>
      <c r="D17" s="3"/>
      <c r="E17" s="3"/>
      <c r="F17" s="3"/>
      <c r="G17" s="3"/>
      <c r="H17" s="3"/>
      <c r="I17" s="3"/>
      <c r="J17" s="9"/>
    </row>
    <row r="18" spans="1:10">
      <c r="A18" s="29">
        <v>8</v>
      </c>
      <c r="B18" s="29" t="s">
        <v>27</v>
      </c>
      <c r="C18" s="29" t="s">
        <v>16</v>
      </c>
      <c r="D18" s="14"/>
      <c r="E18" s="14"/>
      <c r="F18" s="14"/>
      <c r="G18" s="14"/>
      <c r="H18" s="14"/>
      <c r="I18" s="14"/>
      <c r="J18" s="34"/>
    </row>
    <row r="19" spans="1:10">
      <c r="A19" s="33"/>
      <c r="B19" s="33"/>
      <c r="C19" s="33">
        <v>0.995</v>
      </c>
      <c r="D19" s="3"/>
      <c r="E19" s="3"/>
      <c r="F19" s="3"/>
      <c r="G19" s="3"/>
      <c r="H19" s="3"/>
      <c r="I19" s="3"/>
      <c r="J19" s="9"/>
    </row>
    <row r="20" spans="1:10">
      <c r="A20" s="38"/>
      <c r="B20" s="14"/>
      <c r="C20" s="14"/>
      <c r="D20" s="14"/>
      <c r="E20" s="14"/>
      <c r="F20" s="14"/>
      <c r="G20" s="14"/>
      <c r="H20" s="14"/>
      <c r="I20" s="14"/>
      <c r="J20" s="34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38"/>
      <c r="B22" s="14"/>
      <c r="C22" s="14"/>
      <c r="D22" s="14"/>
      <c r="E22" s="14"/>
      <c r="F22" s="14"/>
      <c r="G22" s="14"/>
      <c r="H22" s="14"/>
      <c r="I22" s="14"/>
      <c r="J22" s="34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38"/>
      <c r="B24" s="14"/>
      <c r="C24" s="14"/>
      <c r="D24" s="14"/>
      <c r="E24" s="14"/>
      <c r="F24" s="14"/>
      <c r="G24" s="14"/>
      <c r="H24" s="14"/>
      <c r="I24" s="14"/>
      <c r="J24" s="34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38"/>
      <c r="B26" s="14"/>
      <c r="C26" s="14"/>
      <c r="D26" s="14"/>
      <c r="E26" s="14"/>
      <c r="F26" s="14"/>
      <c r="G26" s="14"/>
      <c r="H26" s="14"/>
      <c r="I26" s="14"/>
      <c r="J26" s="34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38"/>
      <c r="B28" s="14"/>
      <c r="C28" s="14"/>
      <c r="D28" s="14"/>
      <c r="E28" s="14"/>
      <c r="F28" s="14"/>
      <c r="G28" s="14"/>
      <c r="H28" s="14"/>
      <c r="I28" s="14"/>
      <c r="J28" s="34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38"/>
      <c r="B30" s="14"/>
      <c r="C30" s="14"/>
      <c r="D30" s="14"/>
      <c r="E30" s="14"/>
      <c r="F30" s="14"/>
      <c r="G30" s="14"/>
      <c r="H30" s="14"/>
      <c r="I30" s="14"/>
      <c r="J30" s="34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38"/>
      <c r="B32" s="14"/>
      <c r="C32" s="14"/>
      <c r="D32" s="14"/>
      <c r="E32" s="14"/>
      <c r="F32" s="14"/>
      <c r="G32" s="14"/>
      <c r="H32" s="14"/>
      <c r="I32" s="14"/>
      <c r="J32" s="34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38"/>
      <c r="B34" s="14"/>
      <c r="C34" s="14"/>
      <c r="D34" s="14"/>
      <c r="E34" s="14"/>
      <c r="F34" s="14"/>
      <c r="G34" s="14"/>
      <c r="H34" s="14"/>
      <c r="I34" s="14"/>
      <c r="J34" s="34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38"/>
      <c r="B36" s="14"/>
      <c r="C36" s="14"/>
      <c r="D36" s="14"/>
      <c r="E36" s="14"/>
      <c r="F36" s="14"/>
      <c r="G36" s="14"/>
      <c r="H36" s="14"/>
      <c r="I36" s="14"/>
      <c r="J36" s="34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38"/>
      <c r="B38" s="14"/>
      <c r="C38" s="14"/>
      <c r="D38" s="14"/>
      <c r="E38" s="14"/>
      <c r="F38" s="14"/>
      <c r="G38" s="14"/>
      <c r="H38" s="14"/>
      <c r="I38" s="14"/>
      <c r="J38" s="34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38"/>
      <c r="B40" s="14"/>
      <c r="C40" s="14"/>
      <c r="D40" s="14"/>
      <c r="E40" s="14"/>
      <c r="F40" s="14"/>
      <c r="G40" s="14"/>
      <c r="H40" s="14"/>
      <c r="I40" s="14"/>
      <c r="J40" s="34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38"/>
      <c r="B42" s="14"/>
      <c r="C42" s="14"/>
      <c r="D42" s="14"/>
      <c r="E42" s="14"/>
      <c r="F42" s="14"/>
      <c r="G42" s="14"/>
      <c r="H42" s="14"/>
      <c r="I42" s="14"/>
      <c r="J42" s="34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38"/>
      <c r="B44" s="14"/>
      <c r="C44" s="14"/>
      <c r="D44" s="14"/>
      <c r="E44" s="14"/>
      <c r="F44" s="14"/>
      <c r="G44" s="14"/>
      <c r="H44" s="14"/>
      <c r="I44" s="14"/>
      <c r="J44" s="34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38"/>
      <c r="B46" s="14"/>
      <c r="C46" s="14"/>
      <c r="D46" s="14"/>
      <c r="E46" s="14"/>
      <c r="F46" s="14"/>
      <c r="G46" s="14"/>
      <c r="H46" s="14"/>
      <c r="I46" s="14"/>
      <c r="J46" s="34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38"/>
      <c r="B48" s="14"/>
      <c r="C48" s="14"/>
      <c r="D48" s="14"/>
      <c r="E48" s="14"/>
      <c r="F48" s="14"/>
      <c r="G48" s="14"/>
      <c r="H48" s="14"/>
      <c r="I48" s="14"/>
      <c r="J48" s="34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38"/>
      <c r="B50" s="14"/>
      <c r="C50" s="14"/>
      <c r="D50" s="14"/>
      <c r="E50" s="14"/>
      <c r="F50" s="14"/>
      <c r="G50" s="14"/>
      <c r="H50" s="14"/>
      <c r="I50" s="14"/>
      <c r="J50" s="34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38"/>
      <c r="B52" s="14"/>
      <c r="C52" s="14"/>
      <c r="D52" s="14"/>
      <c r="E52" s="14"/>
      <c r="F52" s="14"/>
      <c r="G52" s="14"/>
      <c r="H52" s="14"/>
      <c r="I52" s="14"/>
      <c r="J52" s="34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38"/>
      <c r="B54" s="14"/>
      <c r="C54" s="14"/>
      <c r="D54" s="14"/>
      <c r="E54" s="14"/>
      <c r="F54" s="14"/>
      <c r="G54" s="14"/>
      <c r="H54" s="14"/>
      <c r="I54" s="14"/>
      <c r="J54" s="34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38"/>
      <c r="B56" s="14"/>
      <c r="C56" s="14"/>
      <c r="D56" s="14"/>
      <c r="E56" s="14"/>
      <c r="F56" s="14"/>
      <c r="G56" s="14"/>
      <c r="H56" s="14"/>
      <c r="I56" s="14"/>
      <c r="J56" s="34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38"/>
      <c r="B58" s="14"/>
      <c r="C58" s="14"/>
      <c r="D58" s="14"/>
      <c r="E58" s="14"/>
      <c r="F58" s="14"/>
      <c r="G58" s="14"/>
      <c r="H58" s="14"/>
      <c r="I58" s="14"/>
      <c r="J58" s="34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38"/>
      <c r="B60" s="14"/>
      <c r="C60" s="14"/>
      <c r="D60" s="14"/>
      <c r="E60" s="14"/>
      <c r="F60" s="14"/>
      <c r="G60" s="14"/>
      <c r="H60" s="14"/>
      <c r="I60" s="14"/>
      <c r="J60" s="34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38"/>
      <c r="B62" s="14"/>
      <c r="C62" s="14"/>
      <c r="D62" s="14"/>
      <c r="E62" s="14"/>
      <c r="F62" s="14"/>
      <c r="G62" s="14"/>
      <c r="H62" s="14"/>
      <c r="I62" s="14"/>
      <c r="J62" s="34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38"/>
      <c r="B64" s="14"/>
      <c r="C64" s="14"/>
      <c r="D64" s="14"/>
      <c r="E64" s="14"/>
      <c r="F64" s="14"/>
      <c r="G64" s="14"/>
      <c r="H64" s="14"/>
      <c r="I64" s="14"/>
      <c r="J64" s="34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38"/>
      <c r="B66" s="14"/>
      <c r="C66" s="14"/>
      <c r="D66" s="14"/>
      <c r="E66" s="14"/>
      <c r="F66" s="14"/>
      <c r="G66" s="14"/>
      <c r="H66" s="14"/>
      <c r="I66" s="14"/>
      <c r="J66" s="34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38"/>
      <c r="B68" s="14"/>
      <c r="C68" s="14"/>
      <c r="D68" s="14"/>
      <c r="E68" s="14"/>
      <c r="F68" s="14"/>
      <c r="G68" s="14"/>
      <c r="H68" s="14"/>
      <c r="I68" s="14"/>
      <c r="J68" s="34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38"/>
      <c r="B70" s="14"/>
      <c r="C70" s="14"/>
      <c r="D70" s="14"/>
      <c r="E70" s="14"/>
      <c r="F70" s="14"/>
      <c r="G70" s="14"/>
      <c r="H70" s="14"/>
      <c r="I70" s="14"/>
      <c r="J70" s="34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38"/>
      <c r="B72" s="14"/>
      <c r="C72" s="14"/>
      <c r="D72" s="14"/>
      <c r="E72" s="14"/>
      <c r="F72" s="14"/>
      <c r="G72" s="14"/>
      <c r="H72" s="14"/>
      <c r="I72" s="14"/>
      <c r="J72" s="34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38"/>
      <c r="B74" s="14"/>
      <c r="C74" s="14"/>
      <c r="D74" s="14"/>
      <c r="E74" s="14"/>
      <c r="F74" s="14"/>
      <c r="G74" s="14"/>
      <c r="H74" s="14"/>
      <c r="I74" s="14"/>
      <c r="J74" s="34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38"/>
      <c r="B76" s="14"/>
      <c r="C76" s="14"/>
      <c r="D76" s="14"/>
      <c r="E76" s="14"/>
      <c r="F76" s="14"/>
      <c r="G76" s="14"/>
      <c r="H76" s="14"/>
      <c r="I76" s="14"/>
      <c r="J76" s="34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38"/>
      <c r="B78" s="14"/>
      <c r="C78" s="14"/>
      <c r="D78" s="14"/>
      <c r="E78" s="14"/>
      <c r="F78" s="14"/>
      <c r="G78" s="14"/>
      <c r="H78" s="14"/>
      <c r="I78" s="14"/>
      <c r="J78" s="34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38"/>
      <c r="B80" s="14"/>
      <c r="C80" s="14"/>
      <c r="D80" s="14"/>
      <c r="E80" s="14"/>
      <c r="F80" s="14"/>
      <c r="G80" s="14"/>
      <c r="H80" s="14"/>
      <c r="I80" s="14"/>
      <c r="J80" s="34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38"/>
      <c r="B82" s="14"/>
      <c r="C82" s="14"/>
      <c r="D82" s="14"/>
      <c r="E82" s="14"/>
      <c r="F82" s="14"/>
      <c r="G82" s="14"/>
      <c r="H82" s="14"/>
      <c r="I82" s="14"/>
      <c r="J82" s="34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38"/>
      <c r="B84" s="14"/>
      <c r="C84" s="14"/>
      <c r="D84" s="14"/>
      <c r="E84" s="14"/>
      <c r="F84" s="14"/>
      <c r="G84" s="14"/>
      <c r="H84" s="14"/>
      <c r="I84" s="14"/>
      <c r="J84" s="34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38"/>
      <c r="B86" s="14"/>
      <c r="C86" s="14"/>
      <c r="D86" s="14"/>
      <c r="E86" s="14"/>
      <c r="F86" s="14"/>
      <c r="G86" s="14"/>
      <c r="H86" s="14"/>
      <c r="I86" s="14"/>
      <c r="J86" s="34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38"/>
      <c r="B88" s="14"/>
      <c r="C88" s="14"/>
      <c r="D88" s="14"/>
      <c r="E88" s="14"/>
      <c r="F88" s="14"/>
      <c r="G88" s="14"/>
      <c r="H88" s="14"/>
      <c r="I88" s="14"/>
      <c r="J88" s="34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38"/>
      <c r="B90" s="14"/>
      <c r="C90" s="14"/>
      <c r="D90" s="14"/>
      <c r="E90" s="14"/>
      <c r="F90" s="14"/>
      <c r="G90" s="14"/>
      <c r="H90" s="14"/>
      <c r="I90" s="14"/>
      <c r="J90" s="34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38"/>
      <c r="B92" s="14"/>
      <c r="C92" s="14"/>
      <c r="D92" s="14"/>
      <c r="E92" s="14"/>
      <c r="F92" s="14"/>
      <c r="G92" s="14"/>
      <c r="H92" s="14"/>
      <c r="I92" s="14"/>
      <c r="J92" s="34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38"/>
      <c r="B94" s="14"/>
      <c r="C94" s="14"/>
      <c r="D94" s="14"/>
      <c r="E94" s="14"/>
      <c r="F94" s="14"/>
      <c r="G94" s="14"/>
      <c r="H94" s="14"/>
      <c r="I94" s="14"/>
      <c r="J94" s="34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38"/>
      <c r="B96" s="14"/>
      <c r="C96" s="14"/>
      <c r="D96" s="14"/>
      <c r="E96" s="14"/>
      <c r="F96" s="14"/>
      <c r="G96" s="14"/>
      <c r="H96" s="14"/>
      <c r="I96" s="14"/>
      <c r="J96" s="34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38"/>
      <c r="B98" s="14"/>
      <c r="C98" s="14"/>
      <c r="D98" s="14"/>
      <c r="E98" s="14"/>
      <c r="F98" s="14"/>
      <c r="G98" s="14"/>
      <c r="H98" s="14"/>
      <c r="I98" s="14"/>
      <c r="J98" s="34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38"/>
      <c r="B100" s="14"/>
      <c r="C100" s="14"/>
      <c r="D100" s="14"/>
      <c r="E100" s="14"/>
      <c r="F100" s="14"/>
      <c r="G100" s="14"/>
      <c r="H100" s="14"/>
      <c r="I100" s="14"/>
      <c r="J100" s="34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38"/>
      <c r="B102" s="14"/>
      <c r="C102" s="14"/>
      <c r="D102" s="14"/>
      <c r="E102" s="14"/>
      <c r="F102" s="14"/>
      <c r="G102" s="14"/>
      <c r="H102" s="14"/>
      <c r="I102" s="14"/>
      <c r="J102" s="34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38"/>
      <c r="B104" s="14"/>
      <c r="C104" s="14"/>
      <c r="D104" s="14"/>
      <c r="E104" s="14"/>
      <c r="F104" s="14"/>
      <c r="G104" s="14"/>
      <c r="H104" s="14"/>
      <c r="I104" s="14"/>
      <c r="J104" s="34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38"/>
      <c r="B106" s="14"/>
      <c r="C106" s="14"/>
      <c r="D106" s="14"/>
      <c r="E106" s="14"/>
      <c r="F106" s="14"/>
      <c r="G106" s="14"/>
      <c r="H106" s="14"/>
      <c r="I106" s="14"/>
      <c r="J106" s="34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38"/>
      <c r="B108" s="14"/>
      <c r="C108" s="14"/>
      <c r="D108" s="14"/>
      <c r="E108" s="14"/>
      <c r="F108" s="14"/>
      <c r="G108" s="14"/>
      <c r="H108" s="14"/>
      <c r="I108" s="14"/>
      <c r="J108" s="34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38"/>
      <c r="B110" s="14"/>
      <c r="C110" s="14"/>
      <c r="D110" s="14"/>
      <c r="E110" s="14"/>
      <c r="F110" s="14"/>
      <c r="G110" s="14"/>
      <c r="H110" s="14"/>
      <c r="I110" s="14"/>
      <c r="J110" s="34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38"/>
      <c r="B112" s="14"/>
      <c r="C112" s="14"/>
      <c r="D112" s="14"/>
      <c r="E112" s="14"/>
      <c r="F112" s="14"/>
      <c r="G112" s="14"/>
      <c r="H112" s="14"/>
      <c r="I112" s="14"/>
      <c r="J112" s="34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38"/>
      <c r="B114" s="14"/>
      <c r="C114" s="14"/>
      <c r="D114" s="14"/>
      <c r="E114" s="14"/>
      <c r="F114" s="14"/>
      <c r="G114" s="14"/>
      <c r="H114" s="14"/>
      <c r="I114" s="14"/>
      <c r="J114" s="34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38"/>
      <c r="B116" s="14"/>
      <c r="C116" s="14"/>
      <c r="D116" s="14"/>
      <c r="E116" s="14"/>
      <c r="F116" s="14"/>
      <c r="G116" s="14"/>
      <c r="H116" s="14"/>
      <c r="I116" s="14"/>
      <c r="J116" s="34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38"/>
      <c r="B118" s="14"/>
      <c r="C118" s="14"/>
      <c r="D118" s="14"/>
      <c r="E118" s="14"/>
      <c r="F118" s="14"/>
      <c r="G118" s="14"/>
      <c r="H118" s="14"/>
      <c r="I118" s="14"/>
      <c r="J118" s="34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38"/>
      <c r="B120" s="14"/>
      <c r="C120" s="14"/>
      <c r="D120" s="14"/>
      <c r="E120" s="14"/>
      <c r="F120" s="14"/>
      <c r="G120" s="14"/>
      <c r="H120" s="14"/>
      <c r="I120" s="14"/>
      <c r="J120" s="34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38"/>
      <c r="B122" s="14"/>
      <c r="C122" s="14"/>
      <c r="D122" s="14"/>
      <c r="E122" s="14"/>
      <c r="F122" s="14"/>
      <c r="G122" s="14"/>
      <c r="H122" s="14"/>
      <c r="I122" s="14"/>
      <c r="J122" s="34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38"/>
      <c r="B124" s="14"/>
      <c r="C124" s="14"/>
      <c r="D124" s="14"/>
      <c r="E124" s="14"/>
      <c r="F124" s="14"/>
      <c r="G124" s="14"/>
      <c r="H124" s="14"/>
      <c r="I124" s="14"/>
      <c r="J124" s="34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38"/>
      <c r="B126" s="14"/>
      <c r="C126" s="14"/>
      <c r="D126" s="14"/>
      <c r="E126" s="14"/>
      <c r="F126" s="14"/>
      <c r="G126" s="14"/>
      <c r="H126" s="14"/>
      <c r="I126" s="14"/>
      <c r="J126" s="34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38"/>
      <c r="B128" s="14"/>
      <c r="C128" s="14"/>
      <c r="D128" s="14"/>
      <c r="E128" s="14"/>
      <c r="F128" s="14"/>
      <c r="G128" s="14"/>
      <c r="H128" s="14"/>
      <c r="I128" s="14"/>
      <c r="J128" s="34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38"/>
      <c r="B130" s="14"/>
      <c r="C130" s="14"/>
      <c r="D130" s="14"/>
      <c r="E130" s="14"/>
      <c r="F130" s="14"/>
      <c r="G130" s="14"/>
      <c r="H130" s="14"/>
      <c r="I130" s="14"/>
      <c r="J130" s="34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38"/>
      <c r="B132" s="14"/>
      <c r="C132" s="14"/>
      <c r="D132" s="14"/>
      <c r="E132" s="14"/>
      <c r="F132" s="14"/>
      <c r="G132" s="14"/>
      <c r="H132" s="14"/>
      <c r="I132" s="14"/>
      <c r="J132" s="34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38"/>
      <c r="B134" s="14"/>
      <c r="C134" s="14"/>
      <c r="D134" s="14"/>
      <c r="E134" s="14"/>
      <c r="F134" s="14"/>
      <c r="G134" s="14"/>
      <c r="H134" s="14"/>
      <c r="I134" s="14"/>
      <c r="J134" s="34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38"/>
      <c r="B136" s="14"/>
      <c r="C136" s="14"/>
      <c r="D136" s="14"/>
      <c r="E136" s="14"/>
      <c r="F136" s="14"/>
      <c r="G136" s="14"/>
      <c r="H136" s="14"/>
      <c r="I136" s="14"/>
      <c r="J136" s="34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38"/>
      <c r="B138" s="14"/>
      <c r="C138" s="14"/>
      <c r="D138" s="14"/>
      <c r="E138" s="14"/>
      <c r="F138" s="14"/>
      <c r="G138" s="14"/>
      <c r="H138" s="14"/>
      <c r="I138" s="14"/>
      <c r="J138" s="34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38"/>
      <c r="B140" s="14"/>
      <c r="C140" s="14"/>
      <c r="D140" s="14"/>
      <c r="E140" s="14"/>
      <c r="F140" s="14"/>
      <c r="G140" s="14"/>
      <c r="H140" s="14"/>
      <c r="I140" s="14"/>
      <c r="J140" s="34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38"/>
      <c r="B142" s="14"/>
      <c r="C142" s="14"/>
      <c r="D142" s="14"/>
      <c r="E142" s="14"/>
      <c r="F142" s="14"/>
      <c r="G142" s="14"/>
      <c r="H142" s="14"/>
      <c r="I142" s="14"/>
      <c r="J142" s="34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38"/>
      <c r="B144" s="14"/>
      <c r="C144" s="14"/>
      <c r="D144" s="14"/>
      <c r="E144" s="14"/>
      <c r="F144" s="14"/>
      <c r="G144" s="14"/>
      <c r="H144" s="14"/>
      <c r="I144" s="14"/>
      <c r="J144" s="34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38"/>
      <c r="B146" s="14"/>
      <c r="C146" s="14"/>
      <c r="D146" s="14"/>
      <c r="E146" s="14"/>
      <c r="F146" s="14"/>
      <c r="G146" s="14"/>
      <c r="H146" s="14"/>
      <c r="I146" s="14"/>
      <c r="J146" s="34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38"/>
      <c r="B148" s="14"/>
      <c r="C148" s="14"/>
      <c r="D148" s="14"/>
      <c r="E148" s="14"/>
      <c r="F148" s="14"/>
      <c r="G148" s="14"/>
      <c r="H148" s="14"/>
      <c r="I148" s="14"/>
      <c r="J148" s="34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38"/>
      <c r="B150" s="14"/>
      <c r="C150" s="14"/>
      <c r="D150" s="14"/>
      <c r="E150" s="14"/>
      <c r="F150" s="14"/>
      <c r="G150" s="14"/>
      <c r="H150" s="14"/>
      <c r="I150" s="14"/>
      <c r="J150" s="34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38"/>
      <c r="B152" s="14"/>
      <c r="C152" s="14"/>
      <c r="D152" s="14"/>
      <c r="E152" s="14"/>
      <c r="F152" s="14"/>
      <c r="G152" s="14"/>
      <c r="H152" s="14"/>
      <c r="I152" s="14"/>
      <c r="J152" s="34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38"/>
      <c r="B154" s="14"/>
      <c r="C154" s="14"/>
      <c r="D154" s="14"/>
      <c r="E154" s="14"/>
      <c r="F154" s="14"/>
      <c r="G154" s="14"/>
      <c r="H154" s="14"/>
      <c r="I154" s="14"/>
      <c r="J154" s="34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38"/>
      <c r="B156" s="14"/>
      <c r="C156" s="14"/>
      <c r="D156" s="14"/>
      <c r="E156" s="14"/>
      <c r="F156" s="14"/>
      <c r="G156" s="14"/>
      <c r="H156" s="14"/>
      <c r="I156" s="14"/>
      <c r="J156" s="34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38"/>
      <c r="B158" s="14"/>
      <c r="C158" s="14"/>
      <c r="D158" s="14"/>
      <c r="E158" s="14"/>
      <c r="F158" s="14"/>
      <c r="G158" s="14"/>
      <c r="H158" s="14"/>
      <c r="I158" s="14"/>
      <c r="J158" s="34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38"/>
      <c r="B160" s="14"/>
      <c r="C160" s="14"/>
      <c r="D160" s="14"/>
      <c r="E160" s="14"/>
      <c r="F160" s="14"/>
      <c r="G160" s="14"/>
      <c r="H160" s="14"/>
      <c r="I160" s="14"/>
      <c r="J160" s="34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38"/>
      <c r="B162" s="14"/>
      <c r="C162" s="14"/>
      <c r="D162" s="14"/>
      <c r="E162" s="14"/>
      <c r="F162" s="14"/>
      <c r="G162" s="14"/>
      <c r="H162" s="14"/>
      <c r="I162" s="14"/>
      <c r="J162" s="34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38"/>
      <c r="B164" s="14"/>
      <c r="C164" s="14"/>
      <c r="D164" s="14"/>
      <c r="E164" s="14"/>
      <c r="F164" s="14"/>
      <c r="G164" s="14"/>
      <c r="H164" s="14"/>
      <c r="I164" s="14"/>
      <c r="J164" s="34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38"/>
      <c r="B166" s="14"/>
      <c r="C166" s="14"/>
      <c r="D166" s="14"/>
      <c r="E166" s="14"/>
      <c r="F166" s="14"/>
      <c r="G166" s="14"/>
      <c r="H166" s="14"/>
      <c r="I166" s="14"/>
      <c r="J166" s="34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38"/>
      <c r="B168" s="14"/>
      <c r="C168" s="14"/>
      <c r="D168" s="14"/>
      <c r="E168" s="14"/>
      <c r="F168" s="14"/>
      <c r="G168" s="14"/>
      <c r="H168" s="14"/>
      <c r="I168" s="14"/>
      <c r="J168" s="34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38"/>
      <c r="B170" s="14"/>
      <c r="C170" s="14"/>
      <c r="D170" s="14"/>
      <c r="E170" s="14"/>
      <c r="F170" s="14"/>
      <c r="G170" s="14"/>
      <c r="H170" s="14"/>
      <c r="I170" s="14"/>
      <c r="J170" s="34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38"/>
      <c r="B172" s="14"/>
      <c r="C172" s="14"/>
      <c r="D172" s="14"/>
      <c r="E172" s="14"/>
      <c r="F172" s="14"/>
      <c r="G172" s="14"/>
      <c r="H172" s="14"/>
      <c r="I172" s="14"/>
      <c r="J172" s="34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38"/>
      <c r="B174" s="14"/>
      <c r="C174" s="14"/>
      <c r="D174" s="14"/>
      <c r="E174" s="14"/>
      <c r="F174" s="14"/>
      <c r="G174" s="14"/>
      <c r="H174" s="14"/>
      <c r="I174" s="14"/>
      <c r="J174" s="34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38"/>
      <c r="B176" s="14"/>
      <c r="C176" s="14"/>
      <c r="D176" s="14"/>
      <c r="E176" s="14"/>
      <c r="F176" s="14"/>
      <c r="G176" s="14"/>
      <c r="H176" s="14"/>
      <c r="I176" s="14"/>
      <c r="J176" s="34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38"/>
      <c r="B178" s="14"/>
      <c r="C178" s="14"/>
      <c r="D178" s="14"/>
      <c r="E178" s="14"/>
      <c r="F178" s="14"/>
      <c r="G178" s="14"/>
      <c r="H178" s="14"/>
      <c r="I178" s="14"/>
      <c r="J178" s="34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38"/>
      <c r="B180" s="14"/>
      <c r="C180" s="14"/>
      <c r="D180" s="14"/>
      <c r="E180" s="14"/>
      <c r="F180" s="14"/>
      <c r="G180" s="14"/>
      <c r="H180" s="14"/>
      <c r="I180" s="14"/>
      <c r="J180" s="34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38"/>
      <c r="B182" s="14"/>
      <c r="C182" s="14"/>
      <c r="D182" s="14"/>
      <c r="E182" s="14"/>
      <c r="F182" s="14"/>
      <c r="G182" s="14"/>
      <c r="H182" s="14"/>
      <c r="I182" s="14"/>
      <c r="J182" s="34"/>
    </row>
  </sheetData>
  <conditionalFormatting sqref="A1 G2:J9 G10:G13 H10:J15">
    <cfRule type="expression" dxfId="3" priority="3">
      <formula>MOD(ROW(),2)=0</formula>
    </cfRule>
  </conditionalFormatting>
  <conditionalFormatting sqref="B1 D1:J1">
    <cfRule type="expression" dxfId="2" priority="2">
      <formula>MOD(ROW(),2)=0</formula>
    </cfRule>
  </conditionalFormatting>
  <conditionalFormatting sqref="C14:G15">
    <cfRule type="expression" dxfId="1" priority="1">
      <formula>MOD(ROW(),2)=0</formula>
    </cfRule>
  </conditionalFormatting>
  <conditionalFormatting sqref="A16:J182">
    <cfRule type="expression" dxfId="0" priority="4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MD80</vt:lpstr>
      <vt:lpstr>B717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2026-09-09T21:07:47Z</dcterms:modified>
</cp:coreProperties>
</file>