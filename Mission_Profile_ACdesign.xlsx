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aska7164_colorado_edu/Documents/Desktop/AircraftDesignToolbox-Feb23/MAIN/Input Excel Sheets/Mission Profiles/"/>
    </mc:Choice>
  </mc:AlternateContent>
  <xr:revisionPtr revIDLastSave="94" documentId="13_ncr:1_{7F03FA73-868E-FF44-83A6-FB5542F8BA1C}" xr6:coauthVersionLast="47" xr6:coauthVersionMax="47" xr10:uidLastSave="{205C28B1-1DC4-4BAD-9305-E52083F4D4DB}"/>
  <bookViews>
    <workbookView xWindow="-3180" yWindow="-21600" windowWidth="26010" windowHeight="20985" activeTab="1" xr2:uid="{AC12A90C-16A5-0547-A6DB-57534C200D25}"/>
  </bookViews>
  <sheets>
    <sheet name="Templates" sheetId="2" r:id="rId1"/>
    <sheet name="MD80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3" l="1"/>
  <c r="F19" i="3"/>
  <c r="D15" i="3"/>
  <c r="E13" i="3"/>
  <c r="E15" i="3" s="1"/>
  <c r="C13" i="3"/>
  <c r="C15" i="3" s="1"/>
  <c r="C17" i="3"/>
  <c r="C19" i="3" s="1"/>
  <c r="D19" i="3"/>
  <c r="C11" i="3"/>
  <c r="E9" i="3"/>
  <c r="E11" i="3"/>
  <c r="F15" i="3" s="1"/>
  <c r="E17" i="3" s="1"/>
  <c r="E19" i="3" s="1"/>
  <c r="C9" i="3"/>
</calcChain>
</file>

<file path=xl/sharedStrings.xml><?xml version="1.0" encoding="utf-8"?>
<sst xmlns="http://schemas.openxmlformats.org/spreadsheetml/2006/main" count="98" uniqueCount="47">
  <si>
    <t>Takeoff</t>
  </si>
  <si>
    <t xml:space="preserve">Altitude [ft] </t>
  </si>
  <si>
    <t>Cl Max</t>
  </si>
  <si>
    <t>Coef Friction</t>
  </si>
  <si>
    <t>Climb</t>
  </si>
  <si>
    <t>Altitude [ft]</t>
  </si>
  <si>
    <t>Start Mach</t>
  </si>
  <si>
    <t>End Mach</t>
  </si>
  <si>
    <t>Start Altitude [ft]</t>
  </si>
  <si>
    <t>End Altitude [ft]</t>
  </si>
  <si>
    <t>Cruise</t>
  </si>
  <si>
    <t>Mach</t>
  </si>
  <si>
    <t>Loiter</t>
  </si>
  <si>
    <t>Loiter Time [hr]</t>
  </si>
  <si>
    <t>Segment Type</t>
  </si>
  <si>
    <t>Startup/Taxi</t>
  </si>
  <si>
    <t>Weight Fraction</t>
  </si>
  <si>
    <t>Range [nm]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</si>
  <si>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</si>
  <si>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</si>
  <si>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</si>
  <si>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</si>
  <si>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</si>
  <si>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</si>
  <si>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</si>
  <si>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</si>
  <si>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Descent</t>
  </si>
  <si>
    <t>Landing</t>
  </si>
  <si>
    <t>Drop</t>
  </si>
  <si>
    <t>Payload Dropped [lbs]</t>
  </si>
  <si>
    <t>Segment #</t>
  </si>
  <si>
    <t>CDx_TO</t>
  </si>
  <si>
    <t>CDx_Climb</t>
  </si>
  <si>
    <t>CDx_Cruise</t>
  </si>
  <si>
    <t>CDx_Loiter</t>
  </si>
  <si>
    <t>VTOL</t>
  </si>
  <si>
    <t>Hover Time [s]</t>
  </si>
  <si>
    <t>Altitude Gain [ft]</t>
  </si>
  <si>
    <t> 0.26397693</t>
  </si>
  <si>
    <t>Decent 1</t>
  </si>
  <si>
    <t>Cruise 1</t>
  </si>
  <si>
    <t>Cruise 2</t>
  </si>
  <si>
    <t>Decent 2</t>
  </si>
  <si>
    <t>Descent Final</t>
  </si>
  <si>
    <t>Climb 3</t>
  </si>
  <si>
    <t>Climb 2</t>
  </si>
  <si>
    <t>Climb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</si>
</sst>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sz val="8"/>
      <name val="Aptos Narrow"/>
      <family val="2"/>
      <scheme val="minor"/>
    </font>
    <font>
      <b/>
      <sz val="12"/>
      <color rgb="FF000000"/>
      <name val="Arial Unicode MS"/>
      <family val="2"/>
    </font>
    <font>
      <sz val="12"/>
      <color rgb="FF000000"/>
      <name val="Arial Unicode MS"/>
      <family val="2"/>
    </font>
    <font>
      <sz val="13"/>
      <color rgb="FF21252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0" xfId="0" applyFont="1"/>
    <xf numFmtId="0" fontId="2" fillId="2" borderId="1" xfId="0" applyFont="1" applyFill="1" applyBorder="1"/>
    <xf numFmtId="0" fontId="4" fillId="0" borderId="0" xfId="0" applyFont="1"/>
    <xf numFmtId="0" fontId="3" fillId="2" borderId="4" xfId="0" applyFont="1" applyFill="1" applyBorder="1"/>
    <xf numFmtId="0" fontId="3" fillId="2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6" fillId="3" borderId="9" xfId="0" applyFont="1" applyFill="1" applyBorder="1"/>
    <xf numFmtId="0" fontId="6" fillId="0" borderId="0" xfId="0" applyFont="1"/>
    <xf numFmtId="0" fontId="6" fillId="3" borderId="0" xfId="0" applyFont="1" applyFill="1"/>
    <xf numFmtId="0" fontId="7" fillId="0" borderId="0" xfId="0" applyFont="1"/>
    <xf numFmtId="0" fontId="1" fillId="2" borderId="1" xfId="0" applyFont="1" applyFill="1" applyBorder="1"/>
    <xf numFmtId="0" fontId="2" fillId="4" borderId="1" xfId="0" applyFont="1" applyFill="1" applyBorder="1"/>
    <xf numFmtId="0" fontId="8" fillId="0" borderId="0" xfId="0" applyFont="1"/>
  </cellXfs>
  <cellStyles count="1">
    <cellStyle name="Normal" xfId="0" builtinId="0"/>
  </cellStyles>
  <dxfs count="18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08D094-B735-E94F-AEAD-9D929B833871}" name="Table32" displayName="Table32" ref="A1:J196" totalsRowShown="0" headerRowDxfId="17" dataDxfId="16" tableBorderDxfId="15">
  <autoFilter ref="A1:J196" xr:uid="{E9D8E600-FE9F-5C45-8634-0D6DD0E667E3}"/>
  <tableColumns count="10">
    <tableColumn id="1" xr3:uid="{238E6AD2-3D26-8E46-BC2A-ED22F701D26C}" name="Segment #" dataDxfId="14"/>
    <tableColumn id="2" xr3:uid="{EF523A95-70C3-F04A-BBD7-6188BC65AFE2}" name="Segment Type" dataDxfId="13"/>
    <tableColumn id="3" xr3:uid="{93FD7BD7-E7F6-FD41-9C20-A13BEBF0061F}" name="Input 1" dataDxfId="12"/>
    <tableColumn id="4" xr3:uid="{56AE60CA-B686-D747-BDCE-306D07D3398F}" name="Input 2" dataDxfId="11"/>
    <tableColumn id="5" xr3:uid="{65666244-440C-2D44-BBAB-32E73BE4DFFC}" name="Input 3" dataDxfId="10"/>
    <tableColumn id="6" xr3:uid="{722A5B16-263F-7447-968B-F8797F2D5327}" name="Input 4" dataDxfId="9"/>
    <tableColumn id="7" xr3:uid="{AEBEC522-560B-E147-893B-457A284D8CD1}" name="Input 5" dataDxfId="8"/>
    <tableColumn id="8" xr3:uid="{BCF70B12-8E6D-A44F-8571-6850F8D2FCC0}" name="Input 6" dataDxfId="7"/>
    <tableColumn id="9" xr3:uid="{DD713BDF-FD97-5F46-ACBD-E10979DBAB9A}" name="Input 7" dataDxfId="6"/>
    <tableColumn id="10" xr3:uid="{154AD48E-C823-2142-822C-D07E802BABBB}" name="Input 8" dataDxfId="5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F26"/>
  <sheetViews>
    <sheetView zoomScale="115" workbookViewId="0">
      <selection activeCell="B16" sqref="B16"/>
    </sheetView>
  </sheetViews>
  <sheetFormatPr defaultColWidth="10.796875" defaultRowHeight="15"/>
  <cols>
    <col min="1" max="1" width="20.796875" style="2" customWidth="1"/>
    <col min="2" max="2" width="23.796875" style="2" customWidth="1"/>
    <col min="3" max="4" width="20.796875" style="2" customWidth="1"/>
    <col min="5" max="5" width="10.796875" style="2"/>
    <col min="6" max="6" width="15" style="2" customWidth="1"/>
    <col min="7" max="16384" width="10.796875" style="2"/>
  </cols>
  <sheetData>
    <row r="1" spans="1:6" ht="15.6">
      <c r="A1" s="24" t="s">
        <v>15</v>
      </c>
      <c r="B1" s="17" t="s">
        <v>16</v>
      </c>
      <c r="C1" s="14"/>
      <c r="D1" s="14"/>
      <c r="E1" s="14"/>
      <c r="F1" s="14"/>
    </row>
    <row r="2" spans="1:6" ht="15.6">
      <c r="A2" s="4"/>
      <c r="B2" s="18">
        <v>0.995</v>
      </c>
      <c r="C2" s="3"/>
      <c r="D2" s="3"/>
      <c r="E2" s="3"/>
      <c r="F2" s="3"/>
    </row>
    <row r="3" spans="1:6" ht="15.6">
      <c r="A3" s="24"/>
      <c r="B3" s="14"/>
      <c r="C3" s="14"/>
      <c r="D3" s="14"/>
      <c r="E3" s="14"/>
      <c r="F3" s="14"/>
    </row>
    <row r="4" spans="1:6" ht="15.6">
      <c r="A4" s="4" t="s">
        <v>0</v>
      </c>
      <c r="B4" s="3" t="s">
        <v>1</v>
      </c>
      <c r="C4" s="3" t="s">
        <v>2</v>
      </c>
      <c r="D4" s="3" t="s">
        <v>3</v>
      </c>
      <c r="E4" s="3" t="s">
        <v>31</v>
      </c>
      <c r="F4" s="3"/>
    </row>
    <row r="5" spans="1:6" ht="15.6">
      <c r="A5" s="24"/>
      <c r="B5" s="14">
        <v>0</v>
      </c>
      <c r="C5" s="14">
        <v>1.5</v>
      </c>
      <c r="D5" s="14">
        <v>0.05</v>
      </c>
      <c r="E5" s="14">
        <v>0</v>
      </c>
      <c r="F5" s="14"/>
    </row>
    <row r="6" spans="1:6" ht="15.6">
      <c r="A6" s="4"/>
      <c r="B6" s="3"/>
      <c r="C6" s="3"/>
      <c r="D6" s="3"/>
      <c r="E6" s="3"/>
      <c r="F6" s="3"/>
    </row>
    <row r="7" spans="1:6" s="13" customFormat="1" ht="15.6">
      <c r="A7" s="17" t="s">
        <v>4</v>
      </c>
      <c r="B7" s="17" t="s">
        <v>8</v>
      </c>
      <c r="C7" s="17" t="s">
        <v>9</v>
      </c>
      <c r="D7" s="17" t="s">
        <v>6</v>
      </c>
      <c r="E7" s="17" t="s">
        <v>7</v>
      </c>
      <c r="F7" s="17" t="s">
        <v>32</v>
      </c>
    </row>
    <row r="8" spans="1:6" s="15" customFormat="1">
      <c r="A8" s="19"/>
      <c r="B8" s="19">
        <v>0</v>
      </c>
      <c r="C8" s="19">
        <v>10000</v>
      </c>
      <c r="D8" s="19">
        <v>0.1</v>
      </c>
      <c r="E8" s="19">
        <v>0.4</v>
      </c>
      <c r="F8" s="19">
        <v>0</v>
      </c>
    </row>
    <row r="9" spans="1:6" ht="15.6">
      <c r="A9" s="24"/>
      <c r="B9" s="14"/>
      <c r="C9" s="14"/>
      <c r="D9" s="14"/>
      <c r="E9" s="14"/>
      <c r="F9" s="14"/>
    </row>
    <row r="10" spans="1:6" ht="15.6">
      <c r="A10" s="4" t="s">
        <v>10</v>
      </c>
      <c r="B10" s="3" t="s">
        <v>5</v>
      </c>
      <c r="C10" s="3" t="s">
        <v>17</v>
      </c>
      <c r="D10" s="3" t="s">
        <v>11</v>
      </c>
      <c r="E10" s="3" t="s">
        <v>33</v>
      </c>
      <c r="F10" s="3"/>
    </row>
    <row r="11" spans="1:6" ht="15.6">
      <c r="A11" s="24"/>
      <c r="B11" s="14">
        <v>38000</v>
      </c>
      <c r="C11" s="14">
        <v>2000</v>
      </c>
      <c r="D11" s="14">
        <v>0.84</v>
      </c>
      <c r="E11" s="14">
        <v>0</v>
      </c>
      <c r="F11" s="14"/>
    </row>
    <row r="12" spans="1:6" ht="15.6">
      <c r="A12" s="4"/>
      <c r="B12" s="3"/>
      <c r="C12" s="3"/>
      <c r="D12" s="3"/>
      <c r="E12" s="3"/>
      <c r="F12" s="3"/>
    </row>
    <row r="13" spans="1:6" s="13" customFormat="1" ht="15.6">
      <c r="A13" s="17" t="s">
        <v>12</v>
      </c>
      <c r="B13" s="17" t="s">
        <v>5</v>
      </c>
      <c r="C13" s="17" t="s">
        <v>13</v>
      </c>
      <c r="D13" s="17" t="s">
        <v>34</v>
      </c>
      <c r="E13" s="17"/>
      <c r="F13" s="17"/>
    </row>
    <row r="14" spans="1:6" ht="15.6">
      <c r="A14" s="4"/>
      <c r="B14" s="3">
        <v>30000</v>
      </c>
      <c r="C14" s="3">
        <v>0.25</v>
      </c>
      <c r="D14" s="3">
        <v>0</v>
      </c>
      <c r="E14" s="3"/>
      <c r="F14" s="3"/>
    </row>
    <row r="15" spans="1:6" ht="15.6">
      <c r="A15" s="24"/>
      <c r="B15" s="14"/>
      <c r="C15" s="14"/>
      <c r="D15" s="14"/>
      <c r="E15" s="14"/>
      <c r="F15" s="14"/>
    </row>
    <row r="16" spans="1:6" ht="15.6">
      <c r="A16" s="4" t="s">
        <v>26</v>
      </c>
      <c r="B16" s="3" t="s">
        <v>16</v>
      </c>
      <c r="C16" s="3"/>
      <c r="D16" s="3"/>
      <c r="E16" s="3"/>
      <c r="F16" s="3"/>
    </row>
    <row r="17" spans="1:6" ht="15.6">
      <c r="A17" s="24"/>
      <c r="B17" s="14">
        <v>0.99</v>
      </c>
      <c r="C17" s="14"/>
      <c r="D17" s="14"/>
      <c r="E17" s="14"/>
      <c r="F17" s="14"/>
    </row>
    <row r="18" spans="1:6" ht="15.6">
      <c r="A18" s="4"/>
      <c r="B18" s="3"/>
      <c r="C18" s="3"/>
      <c r="D18" s="3"/>
      <c r="E18" s="3"/>
      <c r="F18" s="3"/>
    </row>
    <row r="19" spans="1:6" ht="15.6">
      <c r="A19" s="24" t="s">
        <v>27</v>
      </c>
      <c r="B19" s="17" t="s">
        <v>16</v>
      </c>
      <c r="C19" s="14"/>
      <c r="D19" s="14"/>
      <c r="E19" s="14"/>
      <c r="F19" s="14"/>
    </row>
    <row r="20" spans="1:6" ht="15.6">
      <c r="A20" s="3"/>
      <c r="B20" s="18">
        <v>0.999</v>
      </c>
      <c r="C20" s="3"/>
      <c r="D20" s="3"/>
      <c r="E20" s="3"/>
      <c r="F20" s="3"/>
    </row>
    <row r="21" spans="1:6">
      <c r="A21" s="14"/>
      <c r="B21" s="14"/>
      <c r="C21" s="14"/>
      <c r="D21" s="14"/>
      <c r="E21" s="14"/>
      <c r="F21" s="14"/>
    </row>
    <row r="22" spans="1:6" ht="15.6">
      <c r="A22" s="24" t="s">
        <v>28</v>
      </c>
      <c r="B22" s="14" t="s">
        <v>29</v>
      </c>
      <c r="C22" s="14"/>
      <c r="D22" s="14"/>
      <c r="E22" s="14"/>
      <c r="F22" s="14"/>
    </row>
    <row r="23" spans="1:6" ht="15.6">
      <c r="A23" s="4"/>
      <c r="B23" s="3">
        <v>1000</v>
      </c>
      <c r="C23" s="3"/>
      <c r="D23" s="3"/>
      <c r="E23" s="3"/>
      <c r="F23" s="3"/>
    </row>
    <row r="24" spans="1:6">
      <c r="A24" s="25"/>
      <c r="B24" s="25"/>
      <c r="C24" s="25"/>
      <c r="D24" s="25"/>
      <c r="E24" s="25"/>
      <c r="F24" s="25"/>
    </row>
    <row r="25" spans="1:6" ht="15.6">
      <c r="A25" s="4" t="s">
        <v>35</v>
      </c>
      <c r="B25" s="4" t="s">
        <v>1</v>
      </c>
      <c r="C25" s="4" t="s">
        <v>36</v>
      </c>
      <c r="D25" s="4" t="s">
        <v>37</v>
      </c>
      <c r="E25" s="3"/>
      <c r="F25" s="3"/>
    </row>
    <row r="26" spans="1:6">
      <c r="A26" s="25"/>
      <c r="B26" s="25">
        <v>0</v>
      </c>
      <c r="C26" s="25">
        <v>20</v>
      </c>
      <c r="D26" s="25">
        <v>250</v>
      </c>
      <c r="E26" s="25"/>
      <c r="F26" s="25"/>
    </row>
  </sheetData>
  <conditionalFormatting sqref="A25:E26">
    <cfRule type="expression" dxfId="4" priority="1">
      <formula>MOD(ROW(),2)=0</formula>
    </cfRule>
  </conditionalFormatting>
  <conditionalFormatting sqref="B1:F12 F13:F20 B15:E20 A21:F21 B22:F23">
    <cfRule type="expression" dxfId="3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BA1E-6C94-2B4B-AA71-03782F98A510}">
  <dimension ref="A1:J196"/>
  <sheetViews>
    <sheetView tabSelected="1" zoomScale="135" zoomScaleNormal="111" workbookViewId="0">
      <selection activeCell="D24" sqref="D24"/>
    </sheetView>
  </sheetViews>
  <sheetFormatPr defaultColWidth="10.796875" defaultRowHeight="15"/>
  <cols>
    <col min="1" max="1" width="15.796875" style="2" customWidth="1"/>
    <col min="2" max="2" width="16.296875" style="2" customWidth="1"/>
    <col min="3" max="3" width="19.296875" style="2" customWidth="1"/>
    <col min="4" max="4" width="17.296875" style="2" customWidth="1"/>
    <col min="5" max="5" width="12.69921875" style="2" customWidth="1"/>
    <col min="6" max="6" width="13.796875" style="2" customWidth="1"/>
    <col min="7" max="16384" width="10.796875" style="2"/>
  </cols>
  <sheetData>
    <row r="1" spans="1:10" ht="16.2" thickBot="1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15.6">
      <c r="A2" s="20">
        <v>1</v>
      </c>
      <c r="B2" s="20" t="s">
        <v>15</v>
      </c>
      <c r="C2" s="20" t="s">
        <v>16</v>
      </c>
      <c r="D2" s="20"/>
      <c r="E2" s="20"/>
      <c r="F2" s="22"/>
      <c r="G2" s="5"/>
      <c r="H2" s="5"/>
      <c r="I2" s="5"/>
      <c r="J2" s="7"/>
    </row>
    <row r="3" spans="1:10" ht="15.6">
      <c r="A3" s="21"/>
      <c r="B3" s="23"/>
      <c r="C3" s="23">
        <v>0.995</v>
      </c>
      <c r="D3" s="23"/>
      <c r="E3" s="23"/>
      <c r="F3" s="23"/>
      <c r="G3" s="3"/>
      <c r="H3" s="3"/>
      <c r="I3" s="3"/>
      <c r="J3" s="9"/>
    </row>
    <row r="4" spans="1:10" ht="15.6">
      <c r="A4" s="22">
        <v>2</v>
      </c>
      <c r="B4" s="22" t="s">
        <v>0</v>
      </c>
      <c r="C4" s="22" t="s">
        <v>1</v>
      </c>
      <c r="D4" s="22" t="s">
        <v>2</v>
      </c>
      <c r="E4" s="22" t="s">
        <v>3</v>
      </c>
      <c r="F4" s="22" t="s">
        <v>31</v>
      </c>
      <c r="G4" s="3"/>
      <c r="H4" s="3"/>
      <c r="I4" s="3"/>
      <c r="J4" s="9"/>
    </row>
    <row r="5" spans="1:10" ht="15.6">
      <c r="A5" s="21"/>
      <c r="B5" s="23"/>
      <c r="C5" s="23">
        <v>0</v>
      </c>
      <c r="D5" s="23">
        <v>1.8</v>
      </c>
      <c r="E5" s="23">
        <v>0.02</v>
      </c>
      <c r="F5">
        <v>0.05</v>
      </c>
      <c r="G5" s="3"/>
      <c r="H5" s="3"/>
      <c r="I5" s="3"/>
      <c r="J5" s="9"/>
    </row>
    <row r="6" spans="1:10" ht="15.6">
      <c r="A6" s="22">
        <v>3</v>
      </c>
      <c r="B6" s="22" t="s">
        <v>46</v>
      </c>
      <c r="C6" s="22" t="s">
        <v>8</v>
      </c>
      <c r="D6" s="22" t="s">
        <v>9</v>
      </c>
      <c r="E6" s="22" t="s">
        <v>6</v>
      </c>
      <c r="F6" s="22" t="s">
        <v>7</v>
      </c>
      <c r="G6" s="3" t="s">
        <v>32</v>
      </c>
      <c r="H6" s="3"/>
      <c r="I6" s="3"/>
      <c r="J6" s="9"/>
    </row>
    <row r="7" spans="1:10" ht="16.8">
      <c r="A7" s="21"/>
      <c r="B7" s="23"/>
      <c r="C7" s="23">
        <v>0</v>
      </c>
      <c r="D7" s="23">
        <v>5000</v>
      </c>
      <c r="E7" s="26">
        <v>0.21739275999999999</v>
      </c>
      <c r="F7" s="26" t="s">
        <v>38</v>
      </c>
      <c r="G7" s="3">
        <v>0</v>
      </c>
      <c r="H7" s="3"/>
      <c r="I7" s="3"/>
      <c r="J7" s="9"/>
    </row>
    <row r="8" spans="1:10" ht="15.6">
      <c r="A8" s="22">
        <v>4</v>
      </c>
      <c r="B8" s="22" t="s">
        <v>45</v>
      </c>
      <c r="C8" s="22" t="s">
        <v>8</v>
      </c>
      <c r="D8" s="22" t="s">
        <v>9</v>
      </c>
      <c r="E8" s="22" t="s">
        <v>6</v>
      </c>
      <c r="F8" s="22" t="s">
        <v>7</v>
      </c>
      <c r="G8" s="3" t="s">
        <v>32</v>
      </c>
      <c r="H8" s="3"/>
      <c r="I8" s="3"/>
      <c r="J8" s="9"/>
    </row>
    <row r="9" spans="1:10" ht="16.8">
      <c r="A9" s="21"/>
      <c r="B9" s="23"/>
      <c r="C9" s="23">
        <f>D7</f>
        <v>5000</v>
      </c>
      <c r="D9" s="23">
        <v>15000</v>
      </c>
      <c r="E9" s="23" t="str">
        <f>F7</f>
        <v> 0.26397693</v>
      </c>
      <c r="F9" s="26">
        <v>0.38820136</v>
      </c>
      <c r="G9" s="3">
        <v>0</v>
      </c>
      <c r="H9" s="3"/>
      <c r="I9" s="3"/>
      <c r="J9" s="9"/>
    </row>
    <row r="10" spans="1:10" ht="15.6">
      <c r="A10" s="22">
        <v>5</v>
      </c>
      <c r="B10" s="22" t="s">
        <v>44</v>
      </c>
      <c r="C10" s="22" t="s">
        <v>8</v>
      </c>
      <c r="D10" s="22" t="s">
        <v>9</v>
      </c>
      <c r="E10" s="22" t="s">
        <v>6</v>
      </c>
      <c r="F10" s="22" t="s">
        <v>7</v>
      </c>
      <c r="G10" s="3" t="s">
        <v>32</v>
      </c>
      <c r="H10" s="3"/>
      <c r="I10" s="3"/>
      <c r="J10" s="9"/>
    </row>
    <row r="11" spans="1:10" ht="15.6">
      <c r="A11" s="21"/>
      <c r="B11" s="23"/>
      <c r="C11" s="23">
        <f>D9</f>
        <v>15000</v>
      </c>
      <c r="D11" s="23">
        <v>37000</v>
      </c>
      <c r="E11" s="23">
        <f>F9</f>
        <v>0.38820136</v>
      </c>
      <c r="F11" s="23">
        <v>0.75</v>
      </c>
      <c r="G11" s="3">
        <v>0</v>
      </c>
      <c r="H11" s="3"/>
      <c r="I11" s="3"/>
      <c r="J11" s="9"/>
    </row>
    <row r="12" spans="1:10" ht="15.6">
      <c r="A12" s="22">
        <v>7</v>
      </c>
      <c r="B12" s="22" t="s">
        <v>40</v>
      </c>
      <c r="C12" s="22" t="s">
        <v>5</v>
      </c>
      <c r="D12" s="22" t="s">
        <v>17</v>
      </c>
      <c r="E12" s="22" t="s">
        <v>11</v>
      </c>
      <c r="F12" s="22" t="s">
        <v>33</v>
      </c>
      <c r="G12" s="3"/>
      <c r="H12" s="3"/>
      <c r="I12" s="3"/>
      <c r="J12" s="9"/>
    </row>
    <row r="13" spans="1:10" ht="15.6">
      <c r="A13" s="21"/>
      <c r="B13" s="23"/>
      <c r="C13" s="23">
        <f>D11</f>
        <v>37000</v>
      </c>
      <c r="D13" s="23">
        <v>1000</v>
      </c>
      <c r="E13" s="23">
        <f>F11</f>
        <v>0.75</v>
      </c>
      <c r="F13" s="23">
        <v>0</v>
      </c>
      <c r="G13" s="3"/>
      <c r="H13" s="3"/>
      <c r="I13" s="3"/>
      <c r="J13" s="9"/>
    </row>
    <row r="14" spans="1:10" ht="15.6">
      <c r="A14" s="22">
        <v>8</v>
      </c>
      <c r="B14" s="22" t="s">
        <v>39</v>
      </c>
      <c r="C14" s="22" t="s">
        <v>8</v>
      </c>
      <c r="D14" s="22" t="s">
        <v>9</v>
      </c>
      <c r="E14" s="22" t="s">
        <v>6</v>
      </c>
      <c r="F14" s="22" t="s">
        <v>7</v>
      </c>
      <c r="G14" s="3" t="s">
        <v>32</v>
      </c>
      <c r="H14" s="3"/>
      <c r="I14" s="3"/>
      <c r="J14" s="9"/>
    </row>
    <row r="15" spans="1:10" ht="15.6">
      <c r="A15" s="21"/>
      <c r="B15" s="23"/>
      <c r="C15" s="23">
        <f>C13</f>
        <v>37000</v>
      </c>
      <c r="D15" s="23">
        <f>C11</f>
        <v>15000</v>
      </c>
      <c r="E15" s="23">
        <f>E13</f>
        <v>0.75</v>
      </c>
      <c r="F15" s="23">
        <f>E11</f>
        <v>0.38820136</v>
      </c>
      <c r="G15" s="3">
        <v>0</v>
      </c>
      <c r="H15" s="3"/>
      <c r="I15" s="3"/>
      <c r="J15" s="9"/>
    </row>
    <row r="16" spans="1:10" ht="15.6">
      <c r="A16" s="22">
        <v>9</v>
      </c>
      <c r="B16" s="22" t="s">
        <v>41</v>
      </c>
      <c r="C16" s="22" t="s">
        <v>5</v>
      </c>
      <c r="D16" s="22" t="s">
        <v>17</v>
      </c>
      <c r="E16" s="22" t="s">
        <v>11</v>
      </c>
      <c r="F16" s="22" t="s">
        <v>33</v>
      </c>
      <c r="G16" s="3"/>
      <c r="H16" s="3"/>
      <c r="I16" s="3"/>
      <c r="J16" s="9"/>
    </row>
    <row r="17" spans="1:10" ht="15.6">
      <c r="A17" s="21"/>
      <c r="B17" s="23"/>
      <c r="C17" s="23">
        <f>D15</f>
        <v>15000</v>
      </c>
      <c r="D17" s="23">
        <v>1000</v>
      </c>
      <c r="E17" s="23">
        <f>F15</f>
        <v>0.38820136</v>
      </c>
      <c r="F17" s="23">
        <v>0</v>
      </c>
      <c r="G17" s="3"/>
      <c r="H17" s="3"/>
      <c r="I17" s="3"/>
      <c r="J17" s="9"/>
    </row>
    <row r="18" spans="1:10" ht="15.6">
      <c r="A18" s="22">
        <v>10</v>
      </c>
      <c r="B18" s="22" t="s">
        <v>42</v>
      </c>
      <c r="C18" s="22" t="s">
        <v>8</v>
      </c>
      <c r="D18" s="22" t="s">
        <v>9</v>
      </c>
      <c r="E18" s="22" t="s">
        <v>6</v>
      </c>
      <c r="F18" s="22" t="s">
        <v>7</v>
      </c>
      <c r="G18" s="3" t="s">
        <v>32</v>
      </c>
      <c r="H18" s="3"/>
      <c r="I18" s="3"/>
      <c r="J18" s="9"/>
    </row>
    <row r="19" spans="1:10" ht="15.6">
      <c r="A19" s="21"/>
      <c r="B19" s="23"/>
      <c r="C19" s="23">
        <f>C17</f>
        <v>15000</v>
      </c>
      <c r="D19" s="23">
        <f>D7</f>
        <v>5000</v>
      </c>
      <c r="E19" s="23">
        <f>E17</f>
        <v>0.38820136</v>
      </c>
      <c r="F19" s="23" t="str">
        <f>F7</f>
        <v> 0.26397693</v>
      </c>
      <c r="G19" s="3">
        <v>0</v>
      </c>
      <c r="H19" s="3"/>
      <c r="I19" s="3"/>
      <c r="J19" s="9"/>
    </row>
    <row r="20" spans="1:10" ht="15.6">
      <c r="A20" s="8">
        <v>12</v>
      </c>
      <c r="B20" s="16" t="s">
        <v>12</v>
      </c>
      <c r="C20" s="17" t="s">
        <v>5</v>
      </c>
      <c r="D20" s="17" t="s">
        <v>13</v>
      </c>
      <c r="E20" s="17" t="s">
        <v>34</v>
      </c>
      <c r="F20" s="22"/>
      <c r="G20" s="3"/>
      <c r="H20" s="3"/>
      <c r="I20" s="3"/>
      <c r="J20" s="9"/>
    </row>
    <row r="21" spans="1:10" ht="15.6">
      <c r="A21" s="6"/>
      <c r="B21" s="8"/>
      <c r="C21" s="3">
        <f>D19</f>
        <v>5000</v>
      </c>
      <c r="D21" s="3">
        <v>0.5</v>
      </c>
      <c r="E21" s="3">
        <v>0</v>
      </c>
      <c r="F21" s="23"/>
      <c r="G21" s="3"/>
      <c r="H21" s="3"/>
      <c r="I21" s="3"/>
      <c r="J21" s="9"/>
    </row>
    <row r="22" spans="1:10" ht="15.6">
      <c r="A22" s="22">
        <v>13</v>
      </c>
      <c r="B22" s="22" t="s">
        <v>43</v>
      </c>
      <c r="C22" s="22" t="s">
        <v>16</v>
      </c>
      <c r="D22" s="3"/>
      <c r="E22" s="3"/>
      <c r="F22" s="3"/>
      <c r="G22" s="3"/>
      <c r="H22" s="3"/>
      <c r="I22" s="3"/>
      <c r="J22" s="9"/>
    </row>
    <row r="23" spans="1:10">
      <c r="A23" s="23"/>
      <c r="B23" s="23"/>
      <c r="C23" s="23">
        <v>0.995</v>
      </c>
      <c r="D23" s="3"/>
      <c r="E23" s="3"/>
      <c r="F23" s="3"/>
      <c r="G23" s="3"/>
      <c r="H23" s="3"/>
      <c r="I23" s="3"/>
      <c r="J23" s="9"/>
    </row>
    <row r="24" spans="1:10" ht="15.6">
      <c r="A24" s="22">
        <v>14</v>
      </c>
      <c r="B24" s="22" t="s">
        <v>27</v>
      </c>
      <c r="C24" s="22" t="s">
        <v>16</v>
      </c>
      <c r="D24" s="3"/>
      <c r="E24" s="3"/>
      <c r="F24" s="3"/>
      <c r="G24" s="3"/>
      <c r="H24" s="3"/>
      <c r="I24" s="3"/>
      <c r="J24" s="9"/>
    </row>
    <row r="25" spans="1:10">
      <c r="A25" s="23"/>
      <c r="B25" s="23"/>
      <c r="C25" s="23">
        <v>0.995</v>
      </c>
      <c r="D25" s="3"/>
      <c r="E25" s="3"/>
      <c r="F25" s="3"/>
      <c r="G25" s="3"/>
      <c r="H25" s="3"/>
      <c r="I25" s="3"/>
      <c r="J25" s="9"/>
    </row>
    <row r="26" spans="1:10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>
      <c r="A196" s="10"/>
      <c r="B196" s="11"/>
      <c r="C196" s="11"/>
      <c r="D196" s="11"/>
      <c r="E196" s="11"/>
      <c r="F196" s="11"/>
      <c r="G196" s="11"/>
      <c r="H196" s="11"/>
      <c r="I196" s="11"/>
      <c r="J196" s="12"/>
    </row>
  </sheetData>
  <phoneticPr fontId="5" type="noConversion"/>
  <conditionalFormatting sqref="A1 G2:XFD21">
    <cfRule type="expression" dxfId="2" priority="2">
      <formula>MOD(ROW(),2)=0</formula>
    </cfRule>
  </conditionalFormatting>
  <conditionalFormatting sqref="B1 D1:J1">
    <cfRule type="expression" dxfId="1" priority="1">
      <formula>MOD(ROW(),2)=0</formula>
    </cfRule>
  </conditionalFormatting>
  <conditionalFormatting sqref="K1:XFD1 A22:XFD1048576">
    <cfRule type="expression" dxfId="0" priority="3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Templates</vt:lpstr>
      <vt:lpstr>MD80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Natsumi Kakuda</cp:lastModifiedBy>
  <dcterms:created xsi:type="dcterms:W3CDTF">2024-11-07T17:59:15Z</dcterms:created>
  <dcterms:modified xsi:type="dcterms:W3CDTF">2026-09-04T15:40:01Z</dcterms:modified>
</cp:coreProperties>
</file>