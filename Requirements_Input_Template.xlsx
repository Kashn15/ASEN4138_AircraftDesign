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ty/Documents/MATLAB/AircraftDesignToolbox-Feb23/MAIN/Input Excel Sheets/Point Performance Requirements/"/>
    </mc:Choice>
  </mc:AlternateContent>
  <xr:revisionPtr revIDLastSave="0" documentId="13_ncr:1_{947F24C9-1033-6249-926F-95E4125F1CF2}" xr6:coauthVersionLast="47" xr6:coauthVersionMax="47" xr10:uidLastSave="{00000000-0000-0000-0000-000000000000}"/>
  <bookViews>
    <workbookView xWindow="0" yWindow="660" windowWidth="30240" windowHeight="17880" activeTab="1" xr2:uid="{AC12A90C-16A5-0547-A6DB-57534C200D25}"/>
  </bookViews>
  <sheets>
    <sheet name="Templates" sheetId="2" r:id="rId1"/>
    <sheet name="B717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<sst xmlns="http://schemas.openxmlformats.org/spreadsheetml/2006/main" count="151" uniqueCount="39">
  <si>
    <t>Takeoff Distance</t>
  </si>
  <si>
    <t>Beta</t>
  </si>
  <si>
    <t>Altitude [ft]</t>
  </si>
  <si>
    <t>Throttle</t>
  </si>
  <si>
    <t>CL Max</t>
  </si>
  <si>
    <t>Coef Friction</t>
  </si>
  <si>
    <t>CDx</t>
  </si>
  <si>
    <t>Takeoff Distance [ft]</t>
  </si>
  <si>
    <t>Label</t>
  </si>
  <si>
    <t>Landing Distance</t>
  </si>
  <si>
    <t>Landing Distance [ft]</t>
  </si>
  <si>
    <t>Stall Velocity</t>
  </si>
  <si>
    <t>Stall Velocity [kts]</t>
  </si>
  <si>
    <t>Absolute Ceiling</t>
  </si>
  <si>
    <t xml:space="preserve">Mach </t>
  </si>
  <si>
    <t>n</t>
  </si>
  <si>
    <t>Rate of Climb [ft/s]</t>
  </si>
  <si>
    <t>Acceleration [ft/s^2]</t>
  </si>
  <si>
    <t>Cdx</t>
  </si>
  <si>
    <t>Service Ceiling</t>
  </si>
  <si>
    <t>Sustained Turn</t>
  </si>
  <si>
    <t>Max Mach</t>
  </si>
  <si>
    <t>VTOL</t>
  </si>
  <si>
    <t>Altitude[ft]</t>
  </si>
  <si>
    <t>V_Climb [ft/s]</t>
  </si>
  <si>
    <t>Requirement #</t>
  </si>
  <si>
    <t>Requirement Type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</si>
  <si>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</si>
  <si>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</si>
  <si>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</si>
  <si>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</si>
  <si>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</si>
  <si>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</si>
  <si>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</si>
  <si>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</si>
  <si>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Input 9</t>
  </si>
  <si>
    <t>MIL</t>
  </si>
  <si>
    <t xml:space="preserve">Takeoff </t>
  </si>
  <si>
    <t xml:space="preserve">Landing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</si>
</sst>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rgb="FF000000"/>
      <name val="Arial Unicode MS"/>
      <family val="2"/>
    </font>
    <font>
      <b/>
      <sz val="12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2" fillId="0" borderId="1" xfId="0" quotePrefix="1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3" fillId="0" borderId="0" xfId="0" applyFont="1"/>
    <xf numFmtId="0" fontId="3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0" borderId="13" xfId="0" applyFont="1" applyBorder="1"/>
    <xf numFmtId="0" fontId="3" fillId="0" borderId="13" xfId="0" applyFont="1" applyBorder="1"/>
    <xf numFmtId="0" fontId="1" fillId="2" borderId="5" xfId="0" applyFont="1" applyFill="1" applyBorder="1"/>
    <xf numFmtId="0" fontId="1" fillId="2" borderId="14" xfId="0" applyFont="1" applyFill="1" applyBorder="1"/>
    <xf numFmtId="0" fontId="2" fillId="2" borderId="1" xfId="0" applyFont="1" applyFill="1" applyBorder="1"/>
    <xf numFmtId="0" fontId="2" fillId="0" borderId="16" xfId="0" applyFont="1" applyBorder="1"/>
    <xf numFmtId="0" fontId="1" fillId="2" borderId="2" xfId="0" applyFont="1" applyFill="1" applyBorder="1"/>
    <xf numFmtId="0" fontId="1" fillId="2" borderId="15" xfId="0" applyFont="1" applyFill="1" applyBorder="1"/>
    <xf numFmtId="0" fontId="4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19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D695E8-0CFA-44EB-A7E8-17EB8B26D073}" name="Table3236" displayName="Table3236" ref="A1:K200" totalsRowShown="0" headerRowDxfId="18" dataDxfId="17" tableBorderDxfId="16">
  <autoFilter ref="A1:K200" xr:uid="{E9D8E600-FE9F-5C45-8634-0D6DD0E667E3}"/>
  <tableColumns count="11">
    <tableColumn id="1" xr3:uid="{48A20B23-01C3-4309-B4D6-D80217ED308C}" name="Requirement #" dataDxfId="15"/>
    <tableColumn id="2" xr3:uid="{B5E861CA-07B4-4A55-BFCF-279FEE639179}" name="Requirement Type" dataDxfId="14"/>
    <tableColumn id="3" xr3:uid="{A20E1E7A-749D-4C4F-A9E9-15E7DDAE3B72}" name="Input 1" dataDxfId="13"/>
    <tableColumn id="4" xr3:uid="{C9E71A67-618B-49F5-B40E-DC55C0F14123}" name="Input 2" dataDxfId="12"/>
    <tableColumn id="5" xr3:uid="{CB700B51-91CF-459A-8089-A672822BCBE6}" name="Input 3" dataDxfId="11"/>
    <tableColumn id="6" xr3:uid="{7443D18E-7401-4AA2-9323-EB768D319F5F}" name="Input 4" dataDxfId="10"/>
    <tableColumn id="7" xr3:uid="{01683F4F-204D-4F79-AB3C-0E0BB25C2CCB}" name="Input 5" dataDxfId="9"/>
    <tableColumn id="8" xr3:uid="{C42BC72C-8FFD-433F-86FE-185F4A13A55B}" name="Input 6" dataDxfId="8"/>
    <tableColumn id="9" xr3:uid="{06B2EB36-AF84-4020-94F5-907E7907AF08}" name="Input 7" dataDxfId="7"/>
    <tableColumn id="10" xr3:uid="{E3018BAD-1406-467C-B886-81232EFBEBC9}" name="Input 8" dataDxfId="6"/>
    <tableColumn id="11" xr3:uid="{6AA6B900-164C-48BC-85DD-F670809E36FD}" name="Input 9" dataDxfId="5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J22"/>
  <sheetViews>
    <sheetView zoomScale="113" workbookViewId="0">
      <selection activeCell="A15" sqref="A15:D15"/>
    </sheetView>
  </sheetViews>
  <sheetFormatPr baseColWidth="10" defaultColWidth="10.83203125" defaultRowHeight="18" x14ac:dyDescent="0.25"/>
  <cols>
    <col min="1" max="4" width="20.83203125" style="2" customWidth="1"/>
    <col min="5" max="6" width="13.5" style="2" bestFit="1" customWidth="1"/>
    <col min="7" max="7" width="20.83203125" style="2" customWidth="1"/>
    <col min="8" max="8" width="21.1640625" style="2" bestFit="1" customWidth="1"/>
    <col min="9" max="9" width="20.6640625" style="2" bestFit="1" customWidth="1"/>
    <col min="10" max="16384" width="10.83203125" style="2"/>
  </cols>
  <sheetData>
    <row r="1" spans="1:10" x14ac:dyDescent="0.2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3"/>
    </row>
    <row r="2" spans="1:10" x14ac:dyDescent="0.25">
      <c r="A2" s="5"/>
      <c r="B2" s="3"/>
      <c r="C2" s="3"/>
      <c r="D2" s="3"/>
      <c r="E2" s="6"/>
      <c r="F2" s="3"/>
      <c r="G2" s="3"/>
      <c r="H2" s="3"/>
      <c r="I2" s="24"/>
      <c r="J2" s="3"/>
    </row>
    <row r="3" spans="1:10" x14ac:dyDescent="0.25">
      <c r="A3" s="25" t="s">
        <v>9</v>
      </c>
      <c r="B3" s="26" t="s">
        <v>1</v>
      </c>
      <c r="C3" s="26" t="s">
        <v>2</v>
      </c>
      <c r="D3" s="26" t="s">
        <v>4</v>
      </c>
      <c r="E3" s="26" t="s">
        <v>5</v>
      </c>
      <c r="F3" s="26" t="s">
        <v>6</v>
      </c>
      <c r="G3" s="26" t="s">
        <v>10</v>
      </c>
      <c r="H3" s="26" t="s">
        <v>8</v>
      </c>
      <c r="I3" s="26"/>
      <c r="J3" s="23"/>
    </row>
    <row r="4" spans="1:10" x14ac:dyDescent="0.25">
      <c r="A4" s="5"/>
      <c r="B4" s="3"/>
      <c r="C4" s="3"/>
      <c r="D4" s="3"/>
      <c r="E4" s="6"/>
      <c r="F4" s="3"/>
      <c r="G4" s="3"/>
      <c r="H4" s="3"/>
      <c r="I4" s="24"/>
      <c r="J4" s="3"/>
    </row>
    <row r="5" spans="1:10" x14ac:dyDescent="0.25">
      <c r="A5" s="25" t="s">
        <v>11</v>
      </c>
      <c r="B5" s="26" t="s">
        <v>2</v>
      </c>
      <c r="C5" s="26" t="s">
        <v>4</v>
      </c>
      <c r="D5" s="26" t="s">
        <v>12</v>
      </c>
      <c r="E5" s="26" t="s">
        <v>8</v>
      </c>
      <c r="F5" s="26"/>
      <c r="G5" s="26"/>
      <c r="H5" s="26"/>
      <c r="I5" s="26"/>
      <c r="J5" s="23"/>
    </row>
    <row r="6" spans="1:10" x14ac:dyDescent="0.25">
      <c r="A6" s="5"/>
      <c r="B6" s="3"/>
      <c r="C6" s="3"/>
      <c r="D6" s="3"/>
      <c r="E6" s="6"/>
      <c r="F6" s="3"/>
      <c r="G6" s="3"/>
      <c r="H6" s="3"/>
      <c r="I6" s="24"/>
      <c r="J6" s="3"/>
    </row>
    <row r="7" spans="1:10" s="27" customFormat="1" x14ac:dyDescent="0.25">
      <c r="A7" s="25" t="s">
        <v>13</v>
      </c>
      <c r="B7" s="28" t="s">
        <v>1</v>
      </c>
      <c r="C7" s="28" t="s">
        <v>2</v>
      </c>
      <c r="D7" s="28" t="s">
        <v>14</v>
      </c>
      <c r="E7" s="28" t="s">
        <v>15</v>
      </c>
      <c r="F7" s="28" t="s">
        <v>3</v>
      </c>
      <c r="G7" s="28" t="s">
        <v>16</v>
      </c>
      <c r="H7" s="28" t="s">
        <v>17</v>
      </c>
      <c r="I7" s="28" t="s">
        <v>18</v>
      </c>
      <c r="J7" s="28" t="s">
        <v>8</v>
      </c>
    </row>
    <row r="8" spans="1:10" x14ac:dyDescent="0.25">
      <c r="A8" s="5"/>
      <c r="B8" s="3"/>
      <c r="C8" s="3"/>
      <c r="D8" s="3"/>
      <c r="E8" s="3"/>
      <c r="F8" s="3"/>
      <c r="G8" s="3"/>
      <c r="H8" s="3"/>
      <c r="I8" s="3"/>
      <c r="J8" s="3"/>
    </row>
    <row r="9" spans="1:10" s="27" customFormat="1" x14ac:dyDescent="0.25">
      <c r="A9" s="25" t="s">
        <v>19</v>
      </c>
      <c r="B9" s="28" t="s">
        <v>1</v>
      </c>
      <c r="C9" s="28" t="s">
        <v>2</v>
      </c>
      <c r="D9" s="28" t="s">
        <v>14</v>
      </c>
      <c r="E9" s="28" t="s">
        <v>15</v>
      </c>
      <c r="F9" s="28" t="s">
        <v>3</v>
      </c>
      <c r="G9" s="28" t="s">
        <v>16</v>
      </c>
      <c r="H9" s="28" t="s">
        <v>17</v>
      </c>
      <c r="I9" s="28" t="s">
        <v>18</v>
      </c>
      <c r="J9" s="28" t="s">
        <v>8</v>
      </c>
    </row>
    <row r="10" spans="1:10" x14ac:dyDescent="0.25">
      <c r="A10" s="5"/>
      <c r="B10" s="3"/>
      <c r="C10" s="3"/>
      <c r="D10" s="3"/>
      <c r="E10" s="3"/>
      <c r="F10" s="3"/>
      <c r="G10" s="3"/>
      <c r="H10" s="3"/>
      <c r="I10" s="3"/>
      <c r="J10" s="3"/>
    </row>
    <row r="11" spans="1:10" s="27" customFormat="1" x14ac:dyDescent="0.25">
      <c r="A11" s="25" t="s">
        <v>20</v>
      </c>
      <c r="B11" s="28" t="s">
        <v>1</v>
      </c>
      <c r="C11" s="28" t="s">
        <v>2</v>
      </c>
      <c r="D11" s="28" t="s">
        <v>14</v>
      </c>
      <c r="E11" s="28" t="s">
        <v>15</v>
      </c>
      <c r="F11" s="28" t="s">
        <v>3</v>
      </c>
      <c r="G11" s="28" t="s">
        <v>16</v>
      </c>
      <c r="H11" s="28" t="s">
        <v>17</v>
      </c>
      <c r="I11" s="28" t="s">
        <v>18</v>
      </c>
      <c r="J11" s="28" t="s">
        <v>8</v>
      </c>
    </row>
    <row r="12" spans="1:10" x14ac:dyDescent="0.25">
      <c r="A12" s="5"/>
      <c r="B12" s="3"/>
      <c r="C12" s="3"/>
      <c r="D12" s="3"/>
      <c r="E12" s="3"/>
      <c r="F12" s="3"/>
      <c r="G12" s="3"/>
      <c r="H12" s="3"/>
      <c r="I12" s="3"/>
      <c r="J12" s="3"/>
    </row>
    <row r="13" spans="1:10" s="27" customFormat="1" x14ac:dyDescent="0.25">
      <c r="A13" s="25" t="s">
        <v>21</v>
      </c>
      <c r="B13" s="28" t="s">
        <v>1</v>
      </c>
      <c r="C13" s="28" t="s">
        <v>2</v>
      </c>
      <c r="D13" s="28" t="s">
        <v>14</v>
      </c>
      <c r="E13" s="28" t="s">
        <v>15</v>
      </c>
      <c r="F13" s="28" t="s">
        <v>3</v>
      </c>
      <c r="G13" s="28" t="s">
        <v>16</v>
      </c>
      <c r="H13" s="28" t="s">
        <v>17</v>
      </c>
      <c r="I13" s="28" t="s">
        <v>18</v>
      </c>
      <c r="J13" s="28" t="s">
        <v>8</v>
      </c>
    </row>
    <row r="14" spans="1:10" x14ac:dyDescent="0.25">
      <c r="A14" s="5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1" t="s">
        <v>22</v>
      </c>
      <c r="B15" s="1" t="s">
        <v>1</v>
      </c>
      <c r="C15" s="1" t="s">
        <v>23</v>
      </c>
      <c r="D15" s="1" t="s">
        <v>24</v>
      </c>
    </row>
    <row r="16" spans="1:10" x14ac:dyDescent="0.25">
      <c r="A16" s="1"/>
      <c r="B16" s="1"/>
    </row>
    <row r="19" spans="1:2" x14ac:dyDescent="0.25">
      <c r="A19" s="1"/>
      <c r="B19" s="1"/>
    </row>
    <row r="22" spans="1:2" x14ac:dyDescent="0.25">
      <c r="A22" s="1"/>
      <c r="B22" s="1"/>
    </row>
  </sheetData>
  <conditionalFormatting sqref="B5:I6">
    <cfRule type="expression" dxfId="4" priority="1">
      <formula>MOD(ROW(),2)=0</formula>
    </cfRule>
  </conditionalFormatting>
  <conditionalFormatting sqref="B1:J4 B7:J14">
    <cfRule type="expression" dxfId="3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2228-A9C4-4ABC-A45F-BA0AF3ECAA44}">
  <dimension ref="A1:K200"/>
  <sheetViews>
    <sheetView tabSelected="1" zoomScale="106" zoomScaleNormal="111" workbookViewId="0">
      <selection activeCell="E5" sqref="E5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2.3320312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x14ac:dyDescent="0.25">
      <c r="A1" s="1" t="s">
        <v>25</v>
      </c>
      <c r="B1" s="1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</row>
    <row r="2" spans="1:11" x14ac:dyDescent="0.25">
      <c r="A2" s="7">
        <v>1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3" t="s">
        <v>8</v>
      </c>
      <c r="K2" s="16"/>
    </row>
    <row r="3" spans="1:11" x14ac:dyDescent="0.25">
      <c r="A3" s="5"/>
      <c r="B3" s="3"/>
      <c r="C3" s="3">
        <v>1</v>
      </c>
      <c r="D3" s="3">
        <v>0</v>
      </c>
      <c r="E3" s="6" t="s">
        <v>36</v>
      </c>
      <c r="F3" s="3">
        <v>1.8</v>
      </c>
      <c r="G3" s="3">
        <v>0.02</v>
      </c>
      <c r="H3" s="3">
        <v>3.5000000000000003E-2</v>
      </c>
      <c r="I3" s="14">
        <v>10000</v>
      </c>
      <c r="J3" s="3" t="s">
        <v>37</v>
      </c>
      <c r="K3" s="17"/>
    </row>
    <row r="4" spans="1:11" x14ac:dyDescent="0.25">
      <c r="A4" s="5">
        <v>2</v>
      </c>
      <c r="B4" s="1" t="s">
        <v>9</v>
      </c>
      <c r="C4" s="1" t="s">
        <v>1</v>
      </c>
      <c r="D4" s="1" t="s">
        <v>2</v>
      </c>
      <c r="E4" s="1" t="s">
        <v>4</v>
      </c>
      <c r="F4" s="1" t="s">
        <v>5</v>
      </c>
      <c r="G4" s="1" t="s">
        <v>6</v>
      </c>
      <c r="H4" s="1" t="s">
        <v>10</v>
      </c>
      <c r="I4" s="1" t="s">
        <v>8</v>
      </c>
      <c r="J4" s="3"/>
      <c r="K4" s="17"/>
    </row>
    <row r="5" spans="1:11" x14ac:dyDescent="0.25">
      <c r="A5" s="5"/>
      <c r="B5" s="3"/>
      <c r="C5" s="3">
        <v>1</v>
      </c>
      <c r="D5" s="3">
        <v>0</v>
      </c>
      <c r="E5" s="6">
        <v>1.8</v>
      </c>
      <c r="F5" s="3">
        <v>0.5</v>
      </c>
      <c r="G5" s="3">
        <v>3.5000000000000003E-2</v>
      </c>
      <c r="H5" s="3">
        <v>3000</v>
      </c>
      <c r="I5" s="14" t="s">
        <v>38</v>
      </c>
      <c r="J5" s="3"/>
      <c r="K5" s="17"/>
    </row>
    <row r="6" spans="1:11" x14ac:dyDescent="0.25">
      <c r="A6" s="5">
        <v>3</v>
      </c>
      <c r="B6" s="1" t="s">
        <v>11</v>
      </c>
      <c r="C6" s="1" t="s">
        <v>2</v>
      </c>
      <c r="D6" s="1" t="s">
        <v>4</v>
      </c>
      <c r="E6" s="1" t="s">
        <v>12</v>
      </c>
      <c r="F6" s="3" t="s">
        <v>8</v>
      </c>
      <c r="G6" s="3"/>
      <c r="H6" s="3"/>
      <c r="I6" s="14"/>
      <c r="J6" s="3"/>
      <c r="K6" s="17"/>
    </row>
    <row r="7" spans="1:11" x14ac:dyDescent="0.25">
      <c r="A7" s="5"/>
      <c r="B7" s="3"/>
      <c r="C7" s="3">
        <v>5000</v>
      </c>
      <c r="D7" s="3">
        <v>1.8</v>
      </c>
      <c r="E7" s="3">
        <v>160</v>
      </c>
      <c r="F7" s="3" t="s">
        <v>11</v>
      </c>
      <c r="G7" s="3"/>
      <c r="H7" s="3"/>
      <c r="I7" s="14"/>
      <c r="J7" s="3"/>
      <c r="K7" s="17"/>
    </row>
    <row r="8" spans="1:11" x14ac:dyDescent="0.25">
      <c r="A8" s="5">
        <v>4</v>
      </c>
      <c r="B8" s="1" t="s">
        <v>13</v>
      </c>
      <c r="C8" s="1" t="s">
        <v>1</v>
      </c>
      <c r="D8" s="1" t="s">
        <v>2</v>
      </c>
      <c r="E8" s="1" t="s">
        <v>14</v>
      </c>
      <c r="F8" s="1" t="s">
        <v>15</v>
      </c>
      <c r="G8" s="1" t="s">
        <v>3</v>
      </c>
      <c r="H8" s="1" t="s">
        <v>16</v>
      </c>
      <c r="I8" s="1" t="s">
        <v>17</v>
      </c>
      <c r="J8" s="19" t="s">
        <v>18</v>
      </c>
      <c r="K8" s="17" t="s">
        <v>8</v>
      </c>
    </row>
    <row r="9" spans="1:11" x14ac:dyDescent="0.25">
      <c r="A9" s="5"/>
      <c r="B9" s="3"/>
      <c r="C9" s="3">
        <v>0.85199999999999998</v>
      </c>
      <c r="D9" s="3">
        <v>39000</v>
      </c>
      <c r="E9" s="3">
        <v>0.77</v>
      </c>
      <c r="F9" s="3">
        <v>1</v>
      </c>
      <c r="G9" s="3" t="s">
        <v>36</v>
      </c>
      <c r="H9" s="3">
        <v>0</v>
      </c>
      <c r="I9" s="14">
        <v>0</v>
      </c>
      <c r="J9" s="3">
        <v>0</v>
      </c>
      <c r="K9" s="17" t="s">
        <v>13</v>
      </c>
    </row>
    <row r="10" spans="1:11" x14ac:dyDescent="0.25">
      <c r="A10" s="5">
        <v>5</v>
      </c>
      <c r="B10" s="1" t="s">
        <v>19</v>
      </c>
      <c r="C10" s="1" t="s">
        <v>1</v>
      </c>
      <c r="D10" s="1" t="s">
        <v>2</v>
      </c>
      <c r="E10" s="1" t="s">
        <v>14</v>
      </c>
      <c r="F10" s="1" t="s">
        <v>15</v>
      </c>
      <c r="G10" s="1" t="s">
        <v>3</v>
      </c>
      <c r="H10" s="1" t="s">
        <v>16</v>
      </c>
      <c r="I10" s="1" t="s">
        <v>17</v>
      </c>
      <c r="J10" s="19" t="s">
        <v>18</v>
      </c>
      <c r="K10" s="9" t="s">
        <v>8</v>
      </c>
    </row>
    <row r="11" spans="1:11" x14ac:dyDescent="0.25">
      <c r="A11" s="5"/>
      <c r="B11" s="3"/>
      <c r="C11" s="3">
        <v>0.85199999999999998</v>
      </c>
      <c r="D11" s="3">
        <v>37000</v>
      </c>
      <c r="E11" s="3">
        <v>0.77</v>
      </c>
      <c r="F11" s="3">
        <v>1</v>
      </c>
      <c r="G11" s="3" t="s">
        <v>36</v>
      </c>
      <c r="H11" s="3">
        <v>1.67</v>
      </c>
      <c r="I11" s="14">
        <v>0</v>
      </c>
      <c r="J11" s="3">
        <v>0</v>
      </c>
      <c r="K11" s="17" t="s">
        <v>19</v>
      </c>
    </row>
    <row r="12" spans="1:11" x14ac:dyDescent="0.25">
      <c r="A12" s="5">
        <v>6</v>
      </c>
      <c r="B12" s="1" t="s">
        <v>20</v>
      </c>
      <c r="C12" s="1" t="s">
        <v>1</v>
      </c>
      <c r="D12" s="1" t="s">
        <v>2</v>
      </c>
      <c r="E12" s="1" t="s">
        <v>14</v>
      </c>
      <c r="F12" s="1" t="s">
        <v>15</v>
      </c>
      <c r="G12" s="1" t="s">
        <v>3</v>
      </c>
      <c r="H12" s="1" t="s">
        <v>16</v>
      </c>
      <c r="I12" s="1" t="s">
        <v>17</v>
      </c>
      <c r="J12" s="19" t="s">
        <v>18</v>
      </c>
      <c r="K12" s="9" t="s">
        <v>8</v>
      </c>
    </row>
    <row r="13" spans="1:11" x14ac:dyDescent="0.25">
      <c r="A13" s="5"/>
      <c r="B13" s="3"/>
      <c r="C13" s="3">
        <v>0.85199999999999998</v>
      </c>
      <c r="D13" s="3">
        <v>20000</v>
      </c>
      <c r="E13" s="3">
        <v>0.77</v>
      </c>
      <c r="F13" s="3">
        <v>1.5</v>
      </c>
      <c r="G13" s="3" t="s">
        <v>36</v>
      </c>
      <c r="H13" s="3">
        <v>0</v>
      </c>
      <c r="I13" s="14">
        <v>0</v>
      </c>
      <c r="J13" s="3">
        <v>0</v>
      </c>
      <c r="K13" s="17" t="s">
        <v>20</v>
      </c>
    </row>
    <row r="14" spans="1:11" x14ac:dyDescent="0.25">
      <c r="A14" s="5">
        <v>7</v>
      </c>
      <c r="B14" s="10" t="s">
        <v>21</v>
      </c>
      <c r="C14" s="10" t="s">
        <v>1</v>
      </c>
      <c r="D14" s="1" t="s">
        <v>2</v>
      </c>
      <c r="E14" s="10" t="s">
        <v>14</v>
      </c>
      <c r="F14" s="10" t="s">
        <v>15</v>
      </c>
      <c r="G14" s="10" t="s">
        <v>3</v>
      </c>
      <c r="H14" s="10" t="s">
        <v>16</v>
      </c>
      <c r="I14" s="10" t="s">
        <v>17</v>
      </c>
      <c r="J14" s="20" t="s">
        <v>18</v>
      </c>
      <c r="K14" s="11" t="s">
        <v>8</v>
      </c>
    </row>
    <row r="15" spans="1:11" x14ac:dyDescent="0.25">
      <c r="A15" s="5"/>
      <c r="B15" s="3"/>
      <c r="C15" s="3">
        <v>0.85199999999999998</v>
      </c>
      <c r="D15" s="3">
        <v>20000</v>
      </c>
      <c r="E15" s="3">
        <v>0.77</v>
      </c>
      <c r="F15" s="3">
        <v>1</v>
      </c>
      <c r="G15" s="3" t="s">
        <v>36</v>
      </c>
      <c r="H15" s="3">
        <v>0</v>
      </c>
      <c r="I15" s="14">
        <v>0</v>
      </c>
      <c r="J15" s="3">
        <v>0</v>
      </c>
      <c r="K15" s="17" t="s">
        <v>21</v>
      </c>
    </row>
    <row r="16" spans="1:11" x14ac:dyDescent="0.25">
      <c r="A16" s="5"/>
      <c r="B16" s="3"/>
      <c r="C16" s="3"/>
      <c r="D16" s="3"/>
      <c r="E16" s="3"/>
      <c r="F16" s="3"/>
      <c r="G16" s="3"/>
      <c r="H16" s="3"/>
      <c r="I16" s="14"/>
      <c r="J16" s="3"/>
      <c r="K16" s="17"/>
    </row>
    <row r="17" spans="1:11" x14ac:dyDescent="0.25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x14ac:dyDescent="0.25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 x14ac:dyDescent="0.25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 x14ac:dyDescent="0.25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 x14ac:dyDescent="0.25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 x14ac:dyDescent="0.25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 x14ac:dyDescent="0.25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 x14ac:dyDescent="0.25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 x14ac:dyDescent="0.25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 x14ac:dyDescent="0.25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 x14ac:dyDescent="0.25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 x14ac:dyDescent="0.25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x14ac:dyDescent="0.25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B2:XFD4 C5:XFD5 B6:XFD13 L14:XFD14 F15:XFD21 B16:E21 A22:XFD1048576">
    <cfRule type="expression" dxfId="2" priority="3">
      <formula>MOD(ROW(),2)=0</formula>
    </cfRule>
  </conditionalFormatting>
  <conditionalFormatting sqref="B5">
    <cfRule type="expression" dxfId="1" priority="2">
      <formula>MOD(ROW(),2)=0</formula>
    </cfRule>
  </conditionalFormatting>
  <conditionalFormatting sqref="D14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Templates</vt:lpstr>
      <vt:lpstr>B717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Morris</dc:creator>
  <cp:keywords/>
  <dc:description/>
  <cp:lastModifiedBy>Tyler Brining</cp:lastModifiedBy>
  <cp:revision/>
  <dcterms:created xsi:type="dcterms:W3CDTF">2024-11-07T17:59:15Z</dcterms:created>
  <dcterms:modified xsi:type="dcterms:W3CDTF">2026-09-04T15:54:52Z</dcterms:modified>
  <cp:category/>
  <cp:contentStatus/>
</cp:coreProperties>
</file>