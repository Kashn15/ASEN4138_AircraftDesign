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tyty/Documents/MATLAB/AircraftDesignToolbox-Feb23/MAIN/Input Excel Sheets/Design Configurations/"/>
    </mc:Choice>
  </mc:AlternateContent>
  <xr:revisionPtr revIDLastSave="0" documentId="13_ncr:1_{B387B404-665E-1149-BF8E-10AD682489A2}" xr6:coauthVersionLast="47" xr6:coauthVersionMax="47" xr10:uidLastSave="{00000000-0000-0000-0000-000000000000}"/>
  <bookViews>
    <workbookView xWindow="0" yWindow="660" windowWidth="30240" windowHeight="18980"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3" l="1"/>
  <c r="A2" i="5"/>
  <c r="AP2" i="5"/>
  <c r="Y2" i="4" l="1"/>
  <c r="P2" i="4"/>
  <c r="K2" i="4"/>
  <c r="I2" i="4"/>
  <c r="H2" i="4"/>
  <c r="B72" i="15" l="1" a="1"/>
  <c r="B72" i="15" s="1"/>
  <c r="B2" i="15" a="1"/>
  <c r="B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<sst xmlns="http://schemas.openxmlformats.org/spreadsheetml/2006/main" count="413" uniqueCount="239">
  <si>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</si>
  <si>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</si>
  <si>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</si>
  <si>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</si>
  <si>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</si>
  <si>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</si>
  <si>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</si>
  <si>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</si>
  <si>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</si>
  <si>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</si>
  <si>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</si>
  <si>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</si>
  <si>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</si>
  <si>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</si>
  <si>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</si>
  <si>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</si>
  <si>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</si>
  <si>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</si>
  <si>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</si>
  <si>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</si>
  <si>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</si>
  <si>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</si>
  <si>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</si>
  <si>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</si>
  <si>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</si>
  <si>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</si>
  <si>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</si>
  <si>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</si>
  <si>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</si>
  <si>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</si>
  <si>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</si>
  <si>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</si>
  <si>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</si>
  <si>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</si>
  <si>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</si>
  <si>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</si>
  <si>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</si>
  <si>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</si>
  <si>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</si>
  <si>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</si>
  <si>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</si>
  <si>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</si>
  <si>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</si>
  <si>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</si>
  <si>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</si>
  <si>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</si>
  <si>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</si>
  <si>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</si>
  <si>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</si>
  <si>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</si>
  <si>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</si>
  <si>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</si>
  <si>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</si>
  <si>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</si>
  <si>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</si>
  <si>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</si>
  <si>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</si>
  <si>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</si>
  <si>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</si>
  <si>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</si>
  <si>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</si>
  <si>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</si>
  <si>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</si>
  <si>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</si>
  <si>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</si>
  <si>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</si>
  <si>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</si>
  <si>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</si>
  <si>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</si>
  <si>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</si>
  <si>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</si>
  <si>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</si>
  <si>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</si>
  <si>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</si>
  <si>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</si>
  <si>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</si>
  <si>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</si>
  <si>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</si>
  <si>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</si>
  <si>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</si>
  <si>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</si>
  <si>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</si>
  <si>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</si>
  <si>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</si>
  <si>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</si>
  <si>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</si>
  <si>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</si>
  <si>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</si>
  <si>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</si>
  <si>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</si>
  <si>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</si>
  <si>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</si>
  <si>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</si>
  <si>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</si>
  <si>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</si>
  <si>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</si>
  <si>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</si>
  <si>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</si>
  <si>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</si>
  <si>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</si>
  <si>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</si>
  <si>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</si>
  <si>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</si>
  <si>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</si>
  <si>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</si>
  <si>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</si>
  <si>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</si>
  <si>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</si>
  <si>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</si>
  <si>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</si>
  <si>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</si>
  <si>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</si>
  <si>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</si>
  <si>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</si>
  <si>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</si>
  <si>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</si>
  <si>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</si>
  <si>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</si>
  <si>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</si>
  <si>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</si>
  <si>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</si>
  <si>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</si>
  <si>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</si>
  <si>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</si>
  <si>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</si>
  <si>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</si>
  <si>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</si>
  <si>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</si>
  <si>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</si>
  <si>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</si>
  <si>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</si>
  <si>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</si>
  <si>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</si>
  <si>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</si>
  <si>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</si>
  <si>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</si>
  <si>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</si>
  <si>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</si>
  <si>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</si>
  <si>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</si>
  <si>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</si>
  <si>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</si>
  <si>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</si>
  <si>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</si>
  <si>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</si>
  <si>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</si>
  <si>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</si>
  <si>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</si>
  <si>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</si>
  <si>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</si>
  <si>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</si>
  <si>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</si>
  <si>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</si>
  <si>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</si>
  <si>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</si>
  <si>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</si>
  <si>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</si>
  <si>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</si>
  <si>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</si>
  <si>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</si>
  <si>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</si>
  <si>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</si>
  <si>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</si>
  <si>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</si>
  <si>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</si>
  <si>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</si>
  <si>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</si>
  <si>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</si>
  <si>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</si>
  <si>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</si>
  <si>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</si>
  <si>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</si>
  <si>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</si>
  <si>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</si>
  <si>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</si>
  <si>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</si>
  <si>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</si>
  <si>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</si>
  <si>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</si>
  <si>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</si>
  <si>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</si>
  <si>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</si>
  <si>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</si>
  <si>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</si>
  <si>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</si>
  <si>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</si>
  <si>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</si>
  <si>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</si>
  <si>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</si>
  <si>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</si>
  <si>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</si>
  <si>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</si>
  <si>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</si>
  <si>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</si>
  <si>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</si>
  <si>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</si>
  <si>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</si>
  <si>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</si>
  <si>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</si>
  <si>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</si>
  <si>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</si>
  <si>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</si>
  <si>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</si>
  <si>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</si>
  <si>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</si>
  <si>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</si>
  <si>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</si>
  <si>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</si>
  <si>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</si>
  <si>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</si>
  <si>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</si>
  <si>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</si>
  <si>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</si>
  <si>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</si>
  <si>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</si>
  <si>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</si>
  <si>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</si>
  <si>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</si>
  <si>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</si>
  <si>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</si>
  <si>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</si>
  <si>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</si>
  <si>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</si>
  <si>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</si>
  <si>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</si>
  <si>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</si>
  <si>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</si>
  <si>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</si>
  <si>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</si>
  <si>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</si>
  <si>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</si>
  <si>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</si>
  <si>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</si>
  <si>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</si>
  <si>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</si>
  <si>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</si>
  <si>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MD80</t>
  </si>
  <si>
    <t>DSMA-523A</t>
  </si>
  <si>
    <t>NACA 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</si>
</sst>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20Code%20Workspace/AircraftDesignToolbox/ASEN4138_DEMO.xlsx" TargetMode="External"/><Relationship Id="rId1" Type="http://schemas.openxmlformats.org/officeDocument/2006/relationships/externalLinkPath" Target="file:///C:/GitHub%20Code%20Workspace/AircraftDesignToolbox/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D15" sqref="D15"/>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206</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212</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3"/>
      <c r="B50" s="23"/>
      <c r="C50" s="24"/>
      <c r="D50" s="25"/>
    </row>
    <row r="51" spans="1:4" ht="16" x14ac:dyDescent="0.2">
      <c r="A51" s="3" t="s">
        <v>162</v>
      </c>
      <c r="B51" s="3" t="s">
        <v>44</v>
      </c>
      <c r="C51" s="4" t="s">
        <v>58</v>
      </c>
      <c r="D51" s="5" t="s">
        <v>191</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0"/>
      <c r="B71" s="20"/>
      <c r="C71" s="24"/>
      <c r="D71" s="26"/>
    </row>
    <row r="72" spans="1:4" ht="16" x14ac:dyDescent="0.2">
      <c r="A72" s="3" t="s">
        <v>190</v>
      </c>
      <c r="B72" s="3" t="str" cm="1">
        <f t="array" ref="B72:B82">TRANSPOSE([1]Propulsion!A1:K1)</f>
        <v>Config</v>
      </c>
      <c r="C72" s="4" t="s">
        <v>58</v>
      </c>
      <c r="D72" s="5" t="s">
        <v>191</v>
      </c>
    </row>
    <row r="73" spans="1:4" ht="16" x14ac:dyDescent="0.2">
      <c r="A73" s="3" t="s">
        <v>190</v>
      </c>
      <c r="B73" s="3" t="str">
        <v>PropType</v>
      </c>
      <c r="C73" s="4" t="s">
        <v>58</v>
      </c>
      <c r="D73" s="5" t="s">
        <v>192</v>
      </c>
    </row>
    <row r="74" spans="1:4" ht="16" x14ac:dyDescent="0.2">
      <c r="A74" s="3" t="s">
        <v>190</v>
      </c>
      <c r="B74" s="3" t="str">
        <v>Number</v>
      </c>
      <c r="C74" s="4" t="s">
        <v>58</v>
      </c>
      <c r="D74" s="5" t="s">
        <v>197</v>
      </c>
    </row>
    <row r="75" spans="1:4" ht="16" x14ac:dyDescent="0.2">
      <c r="A75" s="3" t="s">
        <v>190</v>
      </c>
      <c r="B75" s="3" t="str">
        <v>TA_mil_sl</v>
      </c>
      <c r="C75" s="4" t="s">
        <v>193</v>
      </c>
      <c r="D75" s="5" t="s">
        <v>198</v>
      </c>
    </row>
    <row r="76" spans="1:4" ht="16" x14ac:dyDescent="0.2">
      <c r="A76" s="3" t="s">
        <v>190</v>
      </c>
      <c r="B76" s="3" t="str">
        <v>TSFC_mil_sl</v>
      </c>
      <c r="C76" s="4" t="s">
        <v>194</v>
      </c>
      <c r="D76" s="5" t="s">
        <v>199</v>
      </c>
    </row>
    <row r="77" spans="1:4" ht="32" x14ac:dyDescent="0.2">
      <c r="A77" s="3" t="s">
        <v>190</v>
      </c>
      <c r="B77" s="3" t="str">
        <v>TA_AB_sl</v>
      </c>
      <c r="C77" s="4" t="s">
        <v>193</v>
      </c>
      <c r="D77" s="5" t="s">
        <v>201</v>
      </c>
    </row>
    <row r="78" spans="1:4" ht="32" x14ac:dyDescent="0.2">
      <c r="A78" s="3" t="s">
        <v>190</v>
      </c>
      <c r="B78" s="3" t="str">
        <v>TSFC_AB_sl</v>
      </c>
      <c r="C78" s="4" t="s">
        <v>194</v>
      </c>
      <c r="D78" s="5" t="s">
        <v>200</v>
      </c>
    </row>
    <row r="79" spans="1:4" ht="16" x14ac:dyDescent="0.2">
      <c r="A79" s="3" t="s">
        <v>190</v>
      </c>
      <c r="B79" s="3" t="str">
        <v>Install_loss</v>
      </c>
      <c r="C79" s="4" t="s">
        <v>58</v>
      </c>
      <c r="D79" s="5" t="s">
        <v>202</v>
      </c>
    </row>
    <row r="80" spans="1:4" ht="16" x14ac:dyDescent="0.2">
      <c r="A80" s="3" t="s">
        <v>190</v>
      </c>
      <c r="B80" s="3" t="str">
        <v>PA_shp_sl</v>
      </c>
      <c r="C80" s="4" t="s">
        <v>195</v>
      </c>
      <c r="D80" s="5" t="s">
        <v>203</v>
      </c>
    </row>
    <row r="81" spans="1:4" ht="16" x14ac:dyDescent="0.2">
      <c r="A81" s="3" t="s">
        <v>190</v>
      </c>
      <c r="B81" s="3" t="str">
        <v>SFC_sl</v>
      </c>
      <c r="C81" s="4" t="s">
        <v>196</v>
      </c>
      <c r="D81" s="5" t="s">
        <v>204</v>
      </c>
    </row>
    <row r="82" spans="1:4" ht="16" x14ac:dyDescent="0.2">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3"/>
  <sheetViews>
    <sheetView tabSelected="1" zoomScale="173" workbookViewId="0">
      <selection activeCell="C19" sqref="C19"/>
    </sheetView>
  </sheetViews>
  <sheetFormatPr baseColWidth="10" defaultColWidth="8.83203125" defaultRowHeight="15" x14ac:dyDescent="0.2"/>
  <cols>
    <col min="1" max="1" width="8.83203125" style="4"/>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x14ac:dyDescent="0.2">
      <c r="A2" s="4" t="s">
        <v>236</v>
      </c>
      <c r="B2" s="4" t="s">
        <v>210</v>
      </c>
      <c r="C2" s="4">
        <v>0</v>
      </c>
      <c r="D2" s="4">
        <v>0.76</v>
      </c>
      <c r="E2" s="4">
        <v>0.76</v>
      </c>
      <c r="F2" s="4">
        <v>147.67060000000001</v>
      </c>
      <c r="G2" s="4">
        <v>15</v>
      </c>
      <c r="H2" s="4">
        <f t="shared" ref="H2" si="0">F2/G2</f>
        <v>9.8447066666666672</v>
      </c>
      <c r="I2" s="4">
        <f>0.25*PI()*(G2)^2</f>
        <v>176.71458676442586</v>
      </c>
      <c r="J2" s="4">
        <v>0</v>
      </c>
      <c r="K2" s="4">
        <f>PI()*G2*F2</f>
        <v>6958.8130816679532</v>
      </c>
      <c r="L2" s="4">
        <v>1</v>
      </c>
      <c r="M2" s="4">
        <v>1</v>
      </c>
      <c r="N2" s="4">
        <v>1209</v>
      </c>
      <c r="O2" s="4">
        <v>2500</v>
      </c>
      <c r="P2" s="4">
        <f>(107.67717^2)/N2</f>
        <v>9.5900520588990084</v>
      </c>
      <c r="Q2" s="4">
        <v>0.25</v>
      </c>
      <c r="R2" s="4">
        <v>35</v>
      </c>
      <c r="S2" s="4">
        <v>30</v>
      </c>
      <c r="T2" s="4">
        <v>1.1000000000000001</v>
      </c>
      <c r="U2" s="4">
        <v>302.25</v>
      </c>
      <c r="V2" s="4">
        <v>620</v>
      </c>
      <c r="W2" s="4">
        <v>4.26</v>
      </c>
      <c r="X2" s="4">
        <v>0.4</v>
      </c>
      <c r="Y2" s="4">
        <f>35</f>
        <v>35</v>
      </c>
      <c r="Z2" s="4">
        <v>10.5</v>
      </c>
      <c r="AA2" s="4">
        <v>1.1000000000000001</v>
      </c>
      <c r="AB2" s="4">
        <v>0</v>
      </c>
      <c r="AC2" s="4">
        <v>0</v>
      </c>
      <c r="AD2" s="4">
        <v>0</v>
      </c>
      <c r="AE2" s="4">
        <v>0</v>
      </c>
      <c r="AF2" s="4">
        <v>0</v>
      </c>
      <c r="AG2" s="4">
        <v>0</v>
      </c>
      <c r="AH2" s="4">
        <v>0</v>
      </c>
      <c r="AI2" s="4">
        <v>302.25</v>
      </c>
      <c r="AJ2" s="4">
        <v>604.5</v>
      </c>
      <c r="AK2" s="4">
        <v>4.2622450000000001</v>
      </c>
      <c r="AL2" s="4">
        <v>1</v>
      </c>
      <c r="AM2" s="4">
        <v>35</v>
      </c>
      <c r="AN2" s="4">
        <v>10.5</v>
      </c>
      <c r="AO2" s="4">
        <v>1.1000000000000001</v>
      </c>
      <c r="AP2" s="4">
        <v>0</v>
      </c>
      <c r="AQ2" s="4">
        <v>0</v>
      </c>
      <c r="AR2" s="4">
        <v>0</v>
      </c>
      <c r="AS2" s="4">
        <v>0</v>
      </c>
      <c r="AT2" s="4">
        <v>0</v>
      </c>
      <c r="AU2" s="4">
        <v>0</v>
      </c>
      <c r="AV2" s="4">
        <v>0</v>
      </c>
    </row>
    <row r="13" spans="1:48" s="21" customFormat="1" x14ac:dyDescent="0.2"/>
  </sheetData>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B3:B12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3"/>
  <sheetViews>
    <sheetView zoomScale="200" workbookViewId="0">
      <selection activeCell="A3" sqref="A3:XFD3"/>
    </sheetView>
  </sheetViews>
  <sheetFormatPr baseColWidth="10" defaultColWidth="8.83203125" defaultRowHeight="15" x14ac:dyDescent="0.2"/>
  <cols>
    <col min="1" max="1" width="8.83203125" style="10"/>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2">
      <c r="A2" s="10" t="str">
        <f>Main_Input!A2</f>
        <v>MD80</v>
      </c>
      <c r="B2" s="10" t="s">
        <v>237</v>
      </c>
      <c r="C2" s="10">
        <v>0.11</v>
      </c>
      <c r="D2" s="10">
        <v>0.36</v>
      </c>
      <c r="E2" s="10">
        <v>-0.36480000000000001</v>
      </c>
      <c r="F2" s="10">
        <v>-0.22969999999999999</v>
      </c>
      <c r="G2" s="10">
        <v>-9.06E-2</v>
      </c>
      <c r="H2" s="10">
        <v>9.1499999999999998E-2</v>
      </c>
      <c r="I2" s="10">
        <v>0.25209999999999999</v>
      </c>
      <c r="J2" s="10">
        <v>0.3926</v>
      </c>
      <c r="K2" s="10">
        <v>0.4924</v>
      </c>
      <c r="L2" s="10">
        <v>0.59919999999999995</v>
      </c>
      <c r="M2" s="10">
        <v>0.70809999999999995</v>
      </c>
      <c r="N2" s="10">
        <v>0.81489999999999996</v>
      </c>
      <c r="O2" s="10">
        <v>0.92130000000000001</v>
      </c>
      <c r="P2" s="10">
        <v>1.0299</v>
      </c>
      <c r="Q2" s="10">
        <v>1.1337999999999999</v>
      </c>
      <c r="R2" s="10">
        <v>1.2350000000000001</v>
      </c>
      <c r="S2" s="10">
        <v>1.3317000000000001</v>
      </c>
      <c r="T2" s="10">
        <v>1.4271</v>
      </c>
      <c r="U2" s="10">
        <v>1.5059</v>
      </c>
      <c r="V2" s="10">
        <v>1.5843</v>
      </c>
      <c r="W2" s="10">
        <v>1.5843</v>
      </c>
      <c r="X2" s="10">
        <v>1.2370000000000001E-2</v>
      </c>
      <c r="Y2" s="10">
        <v>1.1509999999999999E-2</v>
      </c>
      <c r="Z2" s="10">
        <v>1.082E-2</v>
      </c>
      <c r="AA2" s="10">
        <v>9.1400000000000006E-3</v>
      </c>
      <c r="AB2" s="10">
        <v>6.3699999999999998E-3</v>
      </c>
      <c r="AC2" s="10">
        <v>8.1300000000000001E-3</v>
      </c>
      <c r="AD2" s="10">
        <v>1.027E-2</v>
      </c>
      <c r="AE2" s="10">
        <v>1.1220000000000001E-2</v>
      </c>
      <c r="AF2" s="10">
        <v>1.2160000000000001E-2</v>
      </c>
      <c r="AG2" s="10">
        <v>1.312E-2</v>
      </c>
      <c r="AH2" s="10">
        <v>1.4200000000000001E-2</v>
      </c>
      <c r="AI2" s="10">
        <v>1.5100000000000001E-2</v>
      </c>
      <c r="AJ2" s="10">
        <v>1.651E-2</v>
      </c>
      <c r="AK2" s="10">
        <v>1.806E-2</v>
      </c>
      <c r="AL2" s="10">
        <v>1.9970000000000002E-2</v>
      </c>
      <c r="AM2" s="10">
        <v>2.1649999999999999E-2</v>
      </c>
      <c r="AN2" s="10">
        <v>2.487E-2</v>
      </c>
      <c r="AO2" s="10">
        <v>2.726E-2</v>
      </c>
      <c r="AP2" s="10">
        <f>MIN(X2:AO2)</f>
        <v>6.3699999999999998E-3</v>
      </c>
      <c r="AQ2" s="10" t="s">
        <v>238</v>
      </c>
      <c r="AR2" s="10">
        <v>0.04</v>
      </c>
      <c r="AS2" s="10">
        <v>0.3</v>
      </c>
      <c r="AT2" s="10">
        <v>0</v>
      </c>
      <c r="AU2" s="10">
        <v>0</v>
      </c>
      <c r="AV2" s="10">
        <v>0</v>
      </c>
      <c r="AW2" s="10" t="s">
        <v>180</v>
      </c>
      <c r="AX2" s="10">
        <v>0.04</v>
      </c>
      <c r="AY2" s="10">
        <v>0.3</v>
      </c>
      <c r="AZ2" s="10">
        <v>0</v>
      </c>
      <c r="BA2" s="10">
        <v>0</v>
      </c>
      <c r="BB2" s="10">
        <v>0</v>
      </c>
    </row>
    <row r="13" spans="1:54" s="22"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3"/>
  <sheetViews>
    <sheetView zoomScale="164" workbookViewId="0">
      <selection activeCell="D12" sqref="D12"/>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19" t="s">
        <v>44</v>
      </c>
      <c r="B1" s="19" t="s">
        <v>181</v>
      </c>
      <c r="C1" s="19" t="s">
        <v>164</v>
      </c>
      <c r="D1" s="17" t="s">
        <v>188</v>
      </c>
      <c r="E1" s="17" t="s">
        <v>189</v>
      </c>
      <c r="F1" s="17" t="s">
        <v>182</v>
      </c>
      <c r="G1" s="17" t="s">
        <v>183</v>
      </c>
      <c r="H1" s="17" t="s">
        <v>168</v>
      </c>
      <c r="I1" s="18" t="s">
        <v>165</v>
      </c>
      <c r="J1" s="18" t="s">
        <v>166</v>
      </c>
      <c r="K1" s="18" t="s">
        <v>167</v>
      </c>
      <c r="L1" s="18" t="s">
        <v>235</v>
      </c>
      <c r="M1" s="28" t="s">
        <v>213</v>
      </c>
      <c r="N1" s="28" t="s">
        <v>214</v>
      </c>
      <c r="O1" s="28" t="s">
        <v>215</v>
      </c>
      <c r="P1" s="28" t="s">
        <v>216</v>
      </c>
      <c r="Q1" s="28" t="s">
        <v>217</v>
      </c>
      <c r="R1" s="28" t="s">
        <v>218</v>
      </c>
    </row>
    <row r="2" spans="1:18" x14ac:dyDescent="0.2">
      <c r="A2" t="str">
        <f>Main_Input!A2</f>
        <v>MD80</v>
      </c>
      <c r="B2" t="s">
        <v>185</v>
      </c>
      <c r="C2">
        <v>2</v>
      </c>
      <c r="D2">
        <v>19500</v>
      </c>
      <c r="E2">
        <v>0.73</v>
      </c>
      <c r="F2">
        <v>0</v>
      </c>
      <c r="G2">
        <v>0</v>
      </c>
      <c r="H2">
        <v>0.2</v>
      </c>
      <c r="I2">
        <v>0</v>
      </c>
      <c r="J2">
        <v>0</v>
      </c>
      <c r="K2">
        <v>0</v>
      </c>
      <c r="L2">
        <v>0</v>
      </c>
      <c r="M2">
        <v>0</v>
      </c>
      <c r="N2">
        <v>0</v>
      </c>
      <c r="O2">
        <v>0</v>
      </c>
      <c r="P2">
        <v>0</v>
      </c>
      <c r="Q2">
        <v>0</v>
      </c>
      <c r="R2">
        <v>0</v>
      </c>
    </row>
    <row r="3" spans="1:18" x14ac:dyDescent="0.2">
      <c r="H3" s="29"/>
    </row>
    <row r="13" spans="1:18" s="20"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181</v>
      </c>
      <c r="B1" t="s">
        <v>207</v>
      </c>
    </row>
    <row r="2" spans="1:2" x14ac:dyDescent="0.2">
      <c r="A2" t="s">
        <v>186</v>
      </c>
      <c r="B2" t="s">
        <v>208</v>
      </c>
    </row>
    <row r="3" spans="1:2" x14ac:dyDescent="0.2">
      <c r="A3" t="s">
        <v>187</v>
      </c>
      <c r="B3" t="s">
        <v>209</v>
      </c>
    </row>
    <row r="4" spans="1:2" x14ac:dyDescent="0.2">
      <c r="A4" t="s">
        <v>184</v>
      </c>
      <c r="B4" t="s">
        <v>210</v>
      </c>
    </row>
    <row r="5" spans="1:2" x14ac:dyDescent="0.2">
      <c r="A5" t="s">
        <v>185</v>
      </c>
      <c r="B5" t="s">
        <v>211</v>
      </c>
    </row>
    <row r="6" spans="1:2" x14ac:dyDescent="0.2">
      <c r="A6" t="s">
        <v>234</v>
      </c>
      <c r="B6" t="s">
        <v>220</v>
      </c>
    </row>
    <row r="7" spans="1:2" x14ac:dyDescent="0.2">
      <c r="A7" t="s">
        <v>219</v>
      </c>
      <c r="B7" t="s">
        <v>221</v>
      </c>
    </row>
    <row r="8" spans="1:2" x14ac:dyDescent="0.2">
      <c r="B8" s="27" t="s">
        <v>222</v>
      </c>
    </row>
    <row r="9" spans="1:2" x14ac:dyDescent="0.2">
      <c r="B9" t="s">
        <v>223</v>
      </c>
    </row>
    <row r="10" spans="1:2" x14ac:dyDescent="0.2">
      <c r="B10" s="27" t="s">
        <v>224</v>
      </c>
    </row>
    <row r="11" spans="1:2" x14ac:dyDescent="0.2">
      <c r="B11" t="s">
        <v>233</v>
      </c>
    </row>
    <row r="12" spans="1:2" x14ac:dyDescent="0.2">
      <c r="B12" s="27" t="s">
        <v>232</v>
      </c>
    </row>
    <row r="13" spans="1:2" x14ac:dyDescent="0.2">
      <c r="B13" t="s">
        <v>225</v>
      </c>
    </row>
    <row r="14" spans="1:2" x14ac:dyDescent="0.2">
      <c r="B14" t="s">
        <v>226</v>
      </c>
    </row>
    <row r="15" spans="1:2" x14ac:dyDescent="0.2">
      <c r="B15" t="s">
        <v>227</v>
      </c>
    </row>
    <row r="16" spans="1:2" x14ac:dyDescent="0.2">
      <c r="B16" t="s">
        <v>231</v>
      </c>
    </row>
    <row r="17" spans="2:2" x14ac:dyDescent="0.2">
      <c r="B17" t="s">
        <v>228</v>
      </c>
    </row>
    <row r="18" spans="2:2" x14ac:dyDescent="0.2">
      <c r="B18" t="s">
        <v>230</v>
      </c>
    </row>
    <row r="19" spans="2:2" x14ac:dyDescent="0.2">
      <c r="B19" t="s">
        <v>229</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4"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Tyler Brining</cp:lastModifiedBy>
  <dcterms:created xsi:type="dcterms:W3CDTF">2023-12-05T19:03:00Z</dcterms:created>
  <dcterms:modified xsi:type="dcterms:W3CDTF">2026-09-16T21:05:05Z</dcterms:modified>
</cp:coreProperties>
</file>