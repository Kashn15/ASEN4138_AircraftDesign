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yty/Documents/MATLAB/AircraftDesignToolbox-Feb23/MAIN/Input Excel Sheets/Mission Profiles/"/>
    </mc:Choice>
  </mc:AlternateContent>
  <xr:revisionPtr revIDLastSave="0" documentId="13_ncr:1_{854AECFD-D68F-D448-B342-C41787D4FD43}" xr6:coauthVersionLast="47" xr6:coauthVersionMax="47" xr10:uidLastSave="{00000000-0000-0000-0000-000000000000}"/>
  <bookViews>
    <workbookView xWindow="0" yWindow="660" windowWidth="30240" windowHeight="18980" activeTab="1" xr2:uid="{AC12A90C-16A5-0547-A6DB-57534C200D25}"/>
  </bookViews>
  <sheets>
    <sheet name="Templates" sheetId="2" r:id="rId1"/>
    <sheet name="Outbound Short (KASE -&gt; KDEN)" sheetId="10" r:id="rId2"/>
    <sheet name="Inbound Short (KDEN -&gt; KASE)" sheetId="8" r:id="rId3"/>
    <sheet name="Outbound Long (KASE -&gt; KORD)" sheetId="9" r:id="rId4"/>
    <sheet name="Inbound Long (KORD -&gt; KASE)" sheetId="1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1" l="1"/>
  <c r="C9" i="9"/>
  <c r="E9" i="10"/>
  <c r="E9" i="8"/>
  <c r="C9" i="8"/>
</calcChain>
</file>

<file path=xl/sharedStrings.xml><?xml version="1.0" encoding="utf-8"?>
<sst xmlns="http://schemas.openxmlformats.org/spreadsheetml/2006/main" count="160" uniqueCount="40">
  <si>
    <t>Takeoff</t>
  </si>
  <si>
    <t xml:space="preserve">Altitude [ft] </t>
  </si>
  <si>
    <t>Cl Max</t>
  </si>
  <si>
    <t>Coef Friction</t>
  </si>
  <si>
    <t>Climb</t>
  </si>
  <si>
    <t>Altitude [ft]</t>
  </si>
  <si>
    <t>Start Mach</t>
  </si>
  <si>
    <t>End Mach</t>
  </si>
  <si>
    <t>Start Altitude [ft]</t>
  </si>
  <si>
    <t>End Altitude [ft]</t>
  </si>
  <si>
    <t>Cruise</t>
  </si>
  <si>
    <t>Mach</t>
  </si>
  <si>
    <t>Loiter</t>
  </si>
  <si>
    <t>Loiter Time [hr]</t>
  </si>
  <si>
    <t>Segment Type</t>
  </si>
  <si>
    <t>Startup/Taxi</t>
  </si>
  <si>
    <t>Weight Fraction</t>
  </si>
  <si>
    <t>Range [nm]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</si>
  <si>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</si>
  <si>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</si>
  <si>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</si>
  <si>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</si>
  <si>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</si>
  <si>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</si>
  <si>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</si>
  <si>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</si>
  <si>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Descent</t>
  </si>
  <si>
    <t>Landing</t>
  </si>
  <si>
    <t>Drop</t>
  </si>
  <si>
    <t>Payload Dropped [lbs]</t>
  </si>
  <si>
    <t>Segment #</t>
  </si>
  <si>
    <t>CDx_TO</t>
  </si>
  <si>
    <t>CDx_Climb</t>
  </si>
  <si>
    <t>CDx_Cruise</t>
  </si>
  <si>
    <t>CDx_Loiter</t>
  </si>
  <si>
    <t>VTOL</t>
  </si>
  <si>
    <t>Hover Time [s]</t>
  </si>
  <si>
    <t>Altitude Gain [ft]</t>
  </si>
  <si>
    <t xml:space="preserve">Climb </t>
  </si>
  <si>
    <t xml:space="preserve">Cruise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</si>
</sst>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b/>
      <sz val="12"/>
      <color rgb="FF000000"/>
      <name val="Arial Unicode MS"/>
      <family val="2"/>
    </font>
    <font>
      <sz val="12"/>
      <color rgb="FF000000"/>
      <name val="Arial Unicode MS"/>
      <family val="2"/>
    </font>
    <font>
      <sz val="13"/>
      <color rgb="FF21252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1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3" fillId="0" borderId="0" xfId="0" applyFont="1"/>
    <xf numFmtId="0" fontId="2" fillId="2" borderId="1" xfId="0" applyFont="1" applyFill="1" applyBorder="1"/>
    <xf numFmtId="0" fontId="4" fillId="0" borderId="0" xfId="0" applyFont="1"/>
    <xf numFmtId="0" fontId="3" fillId="2" borderId="1" xfId="0" applyFont="1" applyFill="1" applyBorder="1"/>
    <xf numFmtId="0" fontId="3" fillId="0" borderId="1" xfId="0" applyFont="1" applyBorder="1"/>
    <xf numFmtId="0" fontId="4" fillId="0" borderId="1" xfId="0" applyFont="1" applyBorder="1"/>
    <xf numFmtId="0" fontId="5" fillId="3" borderId="9" xfId="0" applyFont="1" applyFill="1" applyBorder="1"/>
    <xf numFmtId="0" fontId="5" fillId="0" borderId="0" xfId="0" applyFont="1"/>
    <xf numFmtId="0" fontId="5" fillId="3" borderId="0" xfId="0" applyFont="1" applyFill="1"/>
    <xf numFmtId="0" fontId="6" fillId="0" borderId="0" xfId="0" applyFont="1"/>
    <xf numFmtId="0" fontId="1" fillId="2" borderId="1" xfId="0" applyFont="1" applyFill="1" applyBorder="1"/>
    <xf numFmtId="0" fontId="2" fillId="4" borderId="1" xfId="0" applyFont="1" applyFill="1" applyBorder="1"/>
    <xf numFmtId="0" fontId="7" fillId="0" borderId="0" xfId="0" applyFont="1"/>
    <xf numFmtId="0" fontId="2" fillId="0" borderId="1" xfId="0" quotePrefix="1" applyFont="1" applyBorder="1"/>
  </cellXfs>
  <cellStyles count="1">
    <cellStyle name="Normal" xfId="0" builtinId="0"/>
  </cellStyles>
  <dxfs count="78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E818DBB-2F5B-F74B-B78B-CA139A754B2D}" name="Table323235" displayName="Table323235" ref="A1:J160" totalsRowShown="0" headerRowDxfId="64" dataDxfId="63" tableBorderDxfId="62">
  <autoFilter ref="A1:J160" xr:uid="{DE818DBB-2F5B-F74B-B78B-CA139A754B2D}"/>
  <tableColumns count="10">
    <tableColumn id="1" xr3:uid="{477917ED-3D19-544C-88BC-AD859CA07A6A}" name="Segment #" dataDxfId="61"/>
    <tableColumn id="2" xr3:uid="{7EEAFF24-6537-E74B-A259-F182AA38EDFA}" name="Segment Type" dataDxfId="60"/>
    <tableColumn id="3" xr3:uid="{E210CE59-A508-B248-9D51-F92643D3CAA6}" name="Input 1" dataDxfId="59"/>
    <tableColumn id="4" xr3:uid="{E85DE2C5-4F71-984A-A5A4-3B88980308BB}" name="Input 2" dataDxfId="58"/>
    <tableColumn id="5" xr3:uid="{99179F65-6EB8-644F-B469-433CD4AE2071}" name="Input 3" dataDxfId="57"/>
    <tableColumn id="6" xr3:uid="{A3770DD9-4FC0-E04A-8D0B-DAAC8FED19CE}" name="Input 4" dataDxfId="56"/>
    <tableColumn id="7" xr3:uid="{D9B5143D-6234-1D4C-A011-CD78D3D88F68}" name="Input 5" dataDxfId="55"/>
    <tableColumn id="8" xr3:uid="{8B714DF7-F599-B748-8B74-7049A1B0082F}" name="Input 6" dataDxfId="54"/>
    <tableColumn id="9" xr3:uid="{BD0D4A5C-3D61-D947-B1DF-EE657905A624}" name="Input 7" dataDxfId="53"/>
    <tableColumn id="10" xr3:uid="{97DD83FF-301C-FD4C-9258-6111BCDE4166}" name="Input 8" dataDxfId="52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10B45D-8452-AE44-AD9C-5A8977E27B92}" name="Table32323" displayName="Table32323" ref="A1:J160" totalsRowShown="0" headerRowDxfId="77" dataDxfId="76" tableBorderDxfId="75">
  <autoFilter ref="A1:J160" xr:uid="{2D10B45D-8452-AE44-AD9C-5A8977E27B92}"/>
  <tableColumns count="10">
    <tableColumn id="1" xr3:uid="{0DC1C22F-A822-3E46-8AF2-E11369D1E14E}" name="Segment #" dataDxfId="74"/>
    <tableColumn id="2" xr3:uid="{7191E28E-8681-294B-8346-8E8922B09DC8}" name="Segment Type" dataDxfId="73"/>
    <tableColumn id="3" xr3:uid="{5ABAFDAB-EF06-AC43-B41E-B141DE9CE5B1}" name="Input 1" dataDxfId="72"/>
    <tableColumn id="4" xr3:uid="{2974F4BF-9E70-5944-8F8A-E4481669EFE8}" name="Input 2" dataDxfId="71"/>
    <tableColumn id="5" xr3:uid="{AF86D66B-B471-3748-9AD4-FB06E11D7F4D}" name="Input 3" dataDxfId="70"/>
    <tableColumn id="6" xr3:uid="{17610254-944B-3D47-82D1-83A7819F3A69}" name="Input 4" dataDxfId="69"/>
    <tableColumn id="7" xr3:uid="{DF7C8F88-1C64-2746-8E85-95651DEECAA9}" name="Input 5" dataDxfId="68"/>
    <tableColumn id="8" xr3:uid="{25A49959-DB36-5B4B-9797-8792C9EC149B}" name="Input 6" dataDxfId="67"/>
    <tableColumn id="9" xr3:uid="{F20445AA-62A3-BE48-8E7E-D77A45719A6D}" name="Input 7" dataDxfId="66"/>
    <tableColumn id="10" xr3:uid="{9FDDC896-DE19-0F40-83FA-427FA1A18BA8}" name="Input 8" dataDxfId="65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09F90AE-1EEC-FD4B-843C-A0269AE7C24D}" name="Table323236" displayName="Table323236" ref="A1:J160" totalsRowShown="0" headerRowDxfId="51" dataDxfId="50" tableBorderDxfId="49">
  <autoFilter ref="A1:J160" xr:uid="{609F90AE-1EEC-FD4B-843C-A0269AE7C24D}"/>
  <tableColumns count="10">
    <tableColumn id="1" xr3:uid="{E58A7C4B-F200-EB42-9919-52D0B97ADD5C}" name="Segment #" dataDxfId="48"/>
    <tableColumn id="2" xr3:uid="{6DDEAFAD-9D2F-CC46-9B88-86E19AA030B0}" name="Segment Type" dataDxfId="47"/>
    <tableColumn id="3" xr3:uid="{7D9F2DE7-A364-A948-A553-18185CA41CD7}" name="Input 1" dataDxfId="46"/>
    <tableColumn id="4" xr3:uid="{8289C5DC-9B06-7343-B4A5-DCAA355B0311}" name="Input 2" dataDxfId="45"/>
    <tableColumn id="5" xr3:uid="{E2E0511E-32AE-DE4F-AD31-E9DE484606E9}" name="Input 3" dataDxfId="44"/>
    <tableColumn id="6" xr3:uid="{0283C34E-0800-4142-802A-05EFCA4F7E1D}" name="Input 4" dataDxfId="43"/>
    <tableColumn id="7" xr3:uid="{A0418696-2EA7-8E4A-ADE2-BE35DFB5C9AD}" name="Input 5" dataDxfId="42"/>
    <tableColumn id="8" xr3:uid="{8585A179-35DE-134C-9510-5AAB28ED8CE0}" name="Input 6" dataDxfId="41"/>
    <tableColumn id="9" xr3:uid="{2E3D3D9A-BACB-044D-9AC2-962F8C71ECAC}" name="Input 7" dataDxfId="40"/>
    <tableColumn id="10" xr3:uid="{8217FF77-46AB-CA41-AE50-FD15855435D9}" name="Input 8" dataDxfId="39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967264D-CD9F-7D4E-87C6-81F76F006876}" name="Table323237" displayName="Table323237" ref="A1:J160" totalsRowShown="0" headerRowDxfId="38" dataDxfId="37" tableBorderDxfId="36">
  <autoFilter ref="A1:J160" xr:uid="{2967264D-CD9F-7D4E-87C6-81F76F006876}"/>
  <tableColumns count="10">
    <tableColumn id="1" xr3:uid="{CC4D28DB-5999-7346-94AD-00223790F0DE}" name="Segment #" dataDxfId="35"/>
    <tableColumn id="2" xr3:uid="{80FF9AB4-1F97-C043-8251-C4C42143FADA}" name="Segment Type" dataDxfId="34"/>
    <tableColumn id="3" xr3:uid="{6B4DBEBB-5DEA-D64C-9149-B3E3BF80E899}" name="Input 1" dataDxfId="33"/>
    <tableColumn id="4" xr3:uid="{F2700B14-77E3-D547-8A61-F0F258E2B5A8}" name="Input 2" dataDxfId="32"/>
    <tableColumn id="5" xr3:uid="{F79021C3-125B-B143-B99A-547B7A56DCEF}" name="Input 3" dataDxfId="31"/>
    <tableColumn id="6" xr3:uid="{69CB676A-6F4D-624A-A2D2-64760F667420}" name="Input 4" dataDxfId="30"/>
    <tableColumn id="7" xr3:uid="{1D1259CB-FC6B-A241-ADF9-1D1E7BFDDA48}" name="Input 5" dataDxfId="29"/>
    <tableColumn id="8" xr3:uid="{53ECE374-5110-3C40-B6E5-70DC8FEDF644}" name="Input 6" dataDxfId="28"/>
    <tableColumn id="9" xr3:uid="{D3AA5D8B-BA68-524B-80CF-D35E7DE3CFC9}" name="Input 7" dataDxfId="27"/>
    <tableColumn id="10" xr3:uid="{680EE602-4354-EA43-BEB4-1F8C8F56B32D}" name="Input 8" dataDxfId="26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F26"/>
  <sheetViews>
    <sheetView zoomScale="115" workbookViewId="0">
      <selection sqref="A1:F26"/>
    </sheetView>
  </sheetViews>
  <sheetFormatPr baseColWidth="10" defaultColWidth="10.83203125" defaultRowHeight="18" x14ac:dyDescent="0.25"/>
  <cols>
    <col min="1" max="1" width="20.83203125" style="2" customWidth="1"/>
    <col min="2" max="2" width="23.83203125" style="2" customWidth="1"/>
    <col min="3" max="4" width="20.83203125" style="2" customWidth="1"/>
    <col min="5" max="5" width="10.83203125" style="2"/>
    <col min="6" max="6" width="15" style="2" customWidth="1"/>
    <col min="7" max="16384" width="10.83203125" style="2"/>
  </cols>
  <sheetData>
    <row r="1" spans="1:6" x14ac:dyDescent="0.25">
      <c r="A1" s="22" t="s">
        <v>15</v>
      </c>
      <c r="B1" s="15" t="s">
        <v>16</v>
      </c>
      <c r="C1" s="13"/>
      <c r="D1" s="13"/>
      <c r="E1" s="13"/>
      <c r="F1" s="13"/>
    </row>
    <row r="2" spans="1:6" x14ac:dyDescent="0.25">
      <c r="A2" s="4"/>
      <c r="B2" s="16">
        <v>0.995</v>
      </c>
      <c r="C2" s="3"/>
      <c r="D2" s="3"/>
      <c r="E2" s="3"/>
      <c r="F2" s="3"/>
    </row>
    <row r="3" spans="1:6" x14ac:dyDescent="0.25">
      <c r="A3" s="22"/>
      <c r="B3" s="13"/>
      <c r="C3" s="13"/>
      <c r="D3" s="13"/>
      <c r="E3" s="13"/>
      <c r="F3" s="13"/>
    </row>
    <row r="4" spans="1:6" x14ac:dyDescent="0.25">
      <c r="A4" s="4" t="s">
        <v>0</v>
      </c>
      <c r="B4" s="3" t="s">
        <v>1</v>
      </c>
      <c r="C4" s="3" t="s">
        <v>2</v>
      </c>
      <c r="D4" s="3" t="s">
        <v>3</v>
      </c>
      <c r="E4" s="3" t="s">
        <v>31</v>
      </c>
      <c r="F4" s="3"/>
    </row>
    <row r="5" spans="1:6" x14ac:dyDescent="0.25">
      <c r="A5" s="22"/>
      <c r="B5" s="13">
        <v>0</v>
      </c>
      <c r="C5" s="13">
        <v>1.5</v>
      </c>
      <c r="D5" s="13">
        <v>0.05</v>
      </c>
      <c r="E5" s="13">
        <v>0</v>
      </c>
      <c r="F5" s="13"/>
    </row>
    <row r="6" spans="1:6" x14ac:dyDescent="0.25">
      <c r="A6" s="4"/>
      <c r="B6" s="3"/>
      <c r="C6" s="3"/>
      <c r="D6" s="3"/>
      <c r="E6" s="3"/>
      <c r="F6" s="3"/>
    </row>
    <row r="7" spans="1:6" s="12" customFormat="1" x14ac:dyDescent="0.25">
      <c r="A7" s="15" t="s">
        <v>4</v>
      </c>
      <c r="B7" s="15" t="s">
        <v>8</v>
      </c>
      <c r="C7" s="15" t="s">
        <v>9</v>
      </c>
      <c r="D7" s="15" t="s">
        <v>6</v>
      </c>
      <c r="E7" s="15" t="s">
        <v>7</v>
      </c>
      <c r="F7" s="15" t="s">
        <v>32</v>
      </c>
    </row>
    <row r="8" spans="1:6" s="14" customFormat="1" x14ac:dyDescent="0.25">
      <c r="A8" s="17"/>
      <c r="B8" s="17">
        <v>0</v>
      </c>
      <c r="C8" s="17">
        <v>10000</v>
      </c>
      <c r="D8" s="17">
        <v>0.1</v>
      </c>
      <c r="E8" s="17">
        <v>0.4</v>
      </c>
      <c r="F8" s="17">
        <v>0</v>
      </c>
    </row>
    <row r="9" spans="1:6" x14ac:dyDescent="0.25">
      <c r="A9" s="22"/>
      <c r="B9" s="13"/>
      <c r="C9" s="13"/>
      <c r="D9" s="13"/>
      <c r="E9" s="13"/>
      <c r="F9" s="13"/>
    </row>
    <row r="10" spans="1:6" x14ac:dyDescent="0.25">
      <c r="A10" s="4" t="s">
        <v>10</v>
      </c>
      <c r="B10" s="3" t="s">
        <v>5</v>
      </c>
      <c r="C10" s="3" t="s">
        <v>17</v>
      </c>
      <c r="D10" s="3" t="s">
        <v>11</v>
      </c>
      <c r="E10" s="3" t="s">
        <v>33</v>
      </c>
      <c r="F10" s="3"/>
    </row>
    <row r="11" spans="1:6" x14ac:dyDescent="0.25">
      <c r="A11" s="22"/>
      <c r="B11" s="13">
        <v>38000</v>
      </c>
      <c r="C11" s="13">
        <v>2000</v>
      </c>
      <c r="D11" s="13">
        <v>0.84</v>
      </c>
      <c r="E11" s="13">
        <v>0</v>
      </c>
      <c r="F11" s="13"/>
    </row>
    <row r="12" spans="1:6" x14ac:dyDescent="0.25">
      <c r="A12" s="4"/>
      <c r="B12" s="3"/>
      <c r="C12" s="3"/>
      <c r="D12" s="3"/>
      <c r="E12" s="3"/>
      <c r="F12" s="3"/>
    </row>
    <row r="13" spans="1:6" s="12" customFormat="1" x14ac:dyDescent="0.25">
      <c r="A13" s="15" t="s">
        <v>12</v>
      </c>
      <c r="B13" s="15" t="s">
        <v>5</v>
      </c>
      <c r="C13" s="15" t="s">
        <v>13</v>
      </c>
      <c r="D13" s="15" t="s">
        <v>34</v>
      </c>
      <c r="E13" s="15"/>
      <c r="F13" s="15"/>
    </row>
    <row r="14" spans="1:6" x14ac:dyDescent="0.25">
      <c r="A14" s="4"/>
      <c r="B14" s="3">
        <v>30000</v>
      </c>
      <c r="C14" s="3">
        <v>0.25</v>
      </c>
      <c r="D14" s="3">
        <v>0</v>
      </c>
      <c r="E14" s="3"/>
      <c r="F14" s="3"/>
    </row>
    <row r="15" spans="1:6" x14ac:dyDescent="0.25">
      <c r="A15" s="22"/>
      <c r="B15" s="13"/>
      <c r="C15" s="13"/>
      <c r="D15" s="13"/>
      <c r="E15" s="13"/>
      <c r="F15" s="13"/>
    </row>
    <row r="16" spans="1:6" x14ac:dyDescent="0.25">
      <c r="A16" s="4" t="s">
        <v>26</v>
      </c>
      <c r="B16" s="3" t="s">
        <v>16</v>
      </c>
      <c r="C16" s="3"/>
      <c r="D16" s="3"/>
      <c r="E16" s="3"/>
      <c r="F16" s="3"/>
    </row>
    <row r="17" spans="1:6" x14ac:dyDescent="0.25">
      <c r="A17" s="22"/>
      <c r="B17" s="13">
        <v>0.99</v>
      </c>
      <c r="C17" s="13"/>
      <c r="D17" s="13"/>
      <c r="E17" s="13"/>
      <c r="F17" s="13"/>
    </row>
    <row r="18" spans="1:6" x14ac:dyDescent="0.25">
      <c r="A18" s="4"/>
      <c r="B18" s="3"/>
      <c r="C18" s="3"/>
      <c r="D18" s="3"/>
      <c r="E18" s="3"/>
      <c r="F18" s="3"/>
    </row>
    <row r="19" spans="1:6" x14ac:dyDescent="0.25">
      <c r="A19" s="22" t="s">
        <v>27</v>
      </c>
      <c r="B19" s="15" t="s">
        <v>16</v>
      </c>
      <c r="C19" s="13"/>
      <c r="D19" s="13"/>
      <c r="E19" s="13"/>
      <c r="F19" s="13"/>
    </row>
    <row r="20" spans="1:6" x14ac:dyDescent="0.25">
      <c r="A20" s="3"/>
      <c r="B20" s="16">
        <v>0.999</v>
      </c>
      <c r="C20" s="3"/>
      <c r="D20" s="3"/>
      <c r="E20" s="3"/>
      <c r="F20" s="3"/>
    </row>
    <row r="21" spans="1:6" x14ac:dyDescent="0.25">
      <c r="A21" s="13"/>
      <c r="B21" s="13"/>
      <c r="C21" s="13"/>
      <c r="D21" s="13"/>
      <c r="E21" s="13"/>
      <c r="F21" s="13"/>
    </row>
    <row r="22" spans="1:6" x14ac:dyDescent="0.25">
      <c r="A22" s="22" t="s">
        <v>28</v>
      </c>
      <c r="B22" s="13" t="s">
        <v>29</v>
      </c>
      <c r="C22" s="13"/>
      <c r="D22" s="13"/>
      <c r="E22" s="13"/>
      <c r="F22" s="13"/>
    </row>
    <row r="23" spans="1:6" x14ac:dyDescent="0.25">
      <c r="A23" s="4"/>
      <c r="B23" s="3">
        <v>1000</v>
      </c>
      <c r="C23" s="3"/>
      <c r="D23" s="3"/>
      <c r="E23" s="3"/>
      <c r="F23" s="3"/>
    </row>
    <row r="24" spans="1:6" x14ac:dyDescent="0.25">
      <c r="A24" s="23"/>
      <c r="B24" s="23"/>
      <c r="C24" s="23"/>
      <c r="D24" s="23"/>
      <c r="E24" s="23"/>
      <c r="F24" s="23"/>
    </row>
    <row r="25" spans="1:6" x14ac:dyDescent="0.25">
      <c r="A25" s="4" t="s">
        <v>35</v>
      </c>
      <c r="B25" s="4" t="s">
        <v>1</v>
      </c>
      <c r="C25" s="4" t="s">
        <v>36</v>
      </c>
      <c r="D25" s="4" t="s">
        <v>37</v>
      </c>
      <c r="E25" s="3"/>
      <c r="F25" s="3"/>
    </row>
    <row r="26" spans="1:6" x14ac:dyDescent="0.25">
      <c r="A26" s="23"/>
      <c r="B26" s="23">
        <v>0</v>
      </c>
      <c r="C26" s="23">
        <v>20</v>
      </c>
      <c r="D26" s="23">
        <v>250</v>
      </c>
      <c r="E26" s="23"/>
      <c r="F26" s="23"/>
    </row>
  </sheetData>
  <conditionalFormatting sqref="A25:E26">
    <cfRule type="expression" dxfId="25" priority="1">
      <formula>MOD(ROW(),2)=0</formula>
    </cfRule>
  </conditionalFormatting>
  <conditionalFormatting sqref="B1:F12 F13:F20 B15:E20 A21:F21 B22:F23">
    <cfRule type="expression" dxfId="24" priority="2">
      <formula>MOD(ROW(),2)=0</formula>
    </cfRule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10EBB-AB25-434B-845C-43ECD6A9DFE7}">
  <dimension ref="A1:J160"/>
  <sheetViews>
    <sheetView tabSelected="1" zoomScale="150" workbookViewId="0">
      <selection activeCell="C21" sqref="C21"/>
    </sheetView>
  </sheetViews>
  <sheetFormatPr baseColWidth="10" defaultColWidth="10.83203125" defaultRowHeight="18" x14ac:dyDescent="0.25"/>
  <cols>
    <col min="1" max="1" width="15.83203125" style="2" customWidth="1"/>
    <col min="2" max="2" width="16.33203125" style="2" customWidth="1"/>
    <col min="3" max="3" width="19.33203125" style="2" customWidth="1"/>
    <col min="4" max="4" width="17.33203125" style="2" customWidth="1"/>
    <col min="5" max="5" width="12.6640625" style="2" customWidth="1"/>
    <col min="6" max="6" width="13.83203125" style="2" customWidth="1"/>
    <col min="7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8">
        <v>1</v>
      </c>
      <c r="B2" s="18" t="s">
        <v>15</v>
      </c>
      <c r="C2" s="18" t="s">
        <v>16</v>
      </c>
      <c r="D2" s="18"/>
      <c r="E2" s="18"/>
      <c r="F2" s="20"/>
      <c r="G2" s="5"/>
      <c r="H2" s="5"/>
      <c r="I2" s="5"/>
      <c r="J2" s="7"/>
    </row>
    <row r="3" spans="1:10" x14ac:dyDescent="0.25">
      <c r="A3" s="19"/>
      <c r="B3" s="21"/>
      <c r="C3" s="21">
        <v>0.995</v>
      </c>
      <c r="D3" s="21"/>
      <c r="E3" s="21"/>
      <c r="F3" s="21"/>
      <c r="G3" s="3"/>
      <c r="H3" s="3"/>
      <c r="I3" s="3"/>
      <c r="J3" s="8"/>
    </row>
    <row r="4" spans="1:10" x14ac:dyDescent="0.25">
      <c r="A4" s="20">
        <v>2</v>
      </c>
      <c r="B4" s="20" t="s">
        <v>0</v>
      </c>
      <c r="C4" s="20" t="s">
        <v>1</v>
      </c>
      <c r="D4" s="20" t="s">
        <v>2</v>
      </c>
      <c r="E4" s="20" t="s">
        <v>3</v>
      </c>
      <c r="F4" s="20" t="s">
        <v>31</v>
      </c>
      <c r="G4" s="3"/>
      <c r="H4" s="3"/>
      <c r="I4" s="3"/>
      <c r="J4" s="8"/>
    </row>
    <row r="5" spans="1:10" x14ac:dyDescent="0.25">
      <c r="A5" s="19"/>
      <c r="B5" s="21"/>
      <c r="C5" s="21">
        <v>7815</v>
      </c>
      <c r="D5" s="25">
        <v>2.56</v>
      </c>
      <c r="E5" s="21">
        <v>0.02</v>
      </c>
      <c r="F5">
        <v>0.05</v>
      </c>
      <c r="G5" s="3"/>
      <c r="H5" s="3"/>
      <c r="I5" s="3"/>
      <c r="J5" s="8"/>
    </row>
    <row r="6" spans="1:10" x14ac:dyDescent="0.25">
      <c r="A6" s="20">
        <v>3</v>
      </c>
      <c r="B6" s="20" t="s">
        <v>38</v>
      </c>
      <c r="C6" s="20" t="s">
        <v>8</v>
      </c>
      <c r="D6" s="20" t="s">
        <v>9</v>
      </c>
      <c r="E6" s="20" t="s">
        <v>6</v>
      </c>
      <c r="F6" s="20" t="s">
        <v>7</v>
      </c>
      <c r="G6" s="3" t="s">
        <v>32</v>
      </c>
      <c r="H6" s="3"/>
      <c r="I6" s="3"/>
      <c r="J6" s="8"/>
    </row>
    <row r="7" spans="1:10" x14ac:dyDescent="0.25">
      <c r="A7" s="19"/>
      <c r="B7" s="21"/>
      <c r="C7" s="21">
        <v>7815</v>
      </c>
      <c r="D7" s="21">
        <v>22000</v>
      </c>
      <c r="E7" s="24">
        <v>0.217</v>
      </c>
      <c r="F7" s="24">
        <v>0.63</v>
      </c>
      <c r="G7" s="3">
        <v>0</v>
      </c>
      <c r="H7" s="3"/>
      <c r="I7" s="3"/>
      <c r="J7" s="8"/>
    </row>
    <row r="8" spans="1:10" x14ac:dyDescent="0.25">
      <c r="A8" s="20">
        <v>4</v>
      </c>
      <c r="B8" s="20" t="s">
        <v>39</v>
      </c>
      <c r="C8" s="20" t="s">
        <v>5</v>
      </c>
      <c r="D8" s="20" t="s">
        <v>17</v>
      </c>
      <c r="E8" s="20" t="s">
        <v>11</v>
      </c>
      <c r="F8" s="20" t="s">
        <v>33</v>
      </c>
      <c r="G8" s="3"/>
      <c r="H8" s="3"/>
      <c r="I8" s="3"/>
      <c r="J8" s="8"/>
    </row>
    <row r="9" spans="1:10" x14ac:dyDescent="0.25">
      <c r="A9" s="19"/>
      <c r="B9" s="21"/>
      <c r="C9" s="21">
        <v>19000</v>
      </c>
      <c r="D9" s="21">
        <v>120</v>
      </c>
      <c r="E9" s="21">
        <f>F7</f>
        <v>0.63</v>
      </c>
      <c r="F9" s="21">
        <v>0</v>
      </c>
      <c r="G9" s="3"/>
      <c r="H9" s="3"/>
      <c r="I9" s="3"/>
      <c r="J9" s="8"/>
    </row>
    <row r="10" spans="1:10" x14ac:dyDescent="0.25">
      <c r="A10" s="20">
        <v>13</v>
      </c>
      <c r="B10" s="20" t="s">
        <v>26</v>
      </c>
      <c r="C10" s="20" t="s">
        <v>16</v>
      </c>
      <c r="D10" s="3"/>
      <c r="E10" s="3"/>
      <c r="F10" s="3"/>
      <c r="G10" s="3"/>
      <c r="H10" s="3"/>
      <c r="I10" s="3"/>
      <c r="J10" s="8"/>
    </row>
    <row r="11" spans="1:10" x14ac:dyDescent="0.25">
      <c r="A11" s="21"/>
      <c r="B11" s="21"/>
      <c r="C11" s="21">
        <v>0.995</v>
      </c>
      <c r="D11" s="3"/>
      <c r="E11" s="3"/>
      <c r="F11" s="3"/>
      <c r="G11" s="3"/>
      <c r="H11" s="3"/>
      <c r="I11" s="3"/>
      <c r="J11" s="8"/>
    </row>
    <row r="12" spans="1:10" x14ac:dyDescent="0.25">
      <c r="A12" s="20">
        <v>14</v>
      </c>
      <c r="B12" s="20" t="s">
        <v>27</v>
      </c>
      <c r="C12" s="20" t="s">
        <v>16</v>
      </c>
      <c r="D12" s="3"/>
      <c r="E12" s="3"/>
      <c r="F12" s="3"/>
      <c r="G12" s="3"/>
      <c r="H12" s="3"/>
      <c r="I12" s="3"/>
      <c r="J12" s="8"/>
    </row>
    <row r="13" spans="1:10" x14ac:dyDescent="0.25">
      <c r="A13" s="21"/>
      <c r="B13" s="21"/>
      <c r="C13" s="21">
        <v>0.995</v>
      </c>
      <c r="D13" s="3"/>
      <c r="E13" s="3"/>
      <c r="F13" s="3"/>
      <c r="G13" s="3"/>
      <c r="H13" s="3"/>
      <c r="I13" s="3"/>
      <c r="J13" s="8"/>
    </row>
    <row r="14" spans="1:10" x14ac:dyDescent="0.25">
      <c r="A14" s="6"/>
      <c r="B14" s="3"/>
      <c r="C14" s="3"/>
      <c r="D14" s="3"/>
      <c r="E14" s="3"/>
      <c r="F14" s="3"/>
      <c r="G14" s="3"/>
      <c r="H14" s="3"/>
      <c r="I14" s="3"/>
      <c r="J14" s="8"/>
    </row>
    <row r="15" spans="1:10" x14ac:dyDescent="0.25">
      <c r="A15" s="6"/>
      <c r="B15" s="3"/>
      <c r="C15" s="3"/>
      <c r="D15" s="3"/>
      <c r="E15" s="3"/>
      <c r="F15" s="3"/>
      <c r="G15" s="3"/>
      <c r="H15" s="3"/>
      <c r="I15" s="3"/>
      <c r="J15" s="8"/>
    </row>
    <row r="16" spans="1:10" x14ac:dyDescent="0.25">
      <c r="A16" s="6"/>
      <c r="B16" s="3"/>
      <c r="C16" s="3"/>
      <c r="D16" s="3"/>
      <c r="E16" s="3"/>
      <c r="F16" s="3"/>
      <c r="G16" s="3"/>
      <c r="H16" s="3"/>
      <c r="I16" s="3"/>
      <c r="J16" s="8"/>
    </row>
    <row r="17" spans="1:10" x14ac:dyDescent="0.25">
      <c r="A17" s="6"/>
      <c r="B17" s="3"/>
      <c r="C17" s="3"/>
      <c r="D17" s="3"/>
      <c r="E17" s="3"/>
      <c r="F17" s="3"/>
      <c r="G17" s="3"/>
      <c r="H17" s="3"/>
      <c r="I17" s="3"/>
      <c r="J17" s="8"/>
    </row>
    <row r="18" spans="1:10" x14ac:dyDescent="0.25">
      <c r="A18" s="6"/>
      <c r="B18" s="3"/>
      <c r="C18" s="3"/>
      <c r="D18" s="3"/>
      <c r="E18" s="3"/>
      <c r="F18" s="3"/>
      <c r="G18" s="3"/>
      <c r="H18" s="3"/>
      <c r="I18" s="3"/>
      <c r="J18" s="8"/>
    </row>
    <row r="19" spans="1:10" x14ac:dyDescent="0.25">
      <c r="A19" s="6"/>
      <c r="B19" s="3"/>
      <c r="C19" s="3"/>
      <c r="D19" s="3"/>
      <c r="E19" s="3"/>
      <c r="F19" s="3"/>
      <c r="G19" s="3"/>
      <c r="H19" s="3"/>
      <c r="I19" s="3"/>
      <c r="J19" s="8"/>
    </row>
    <row r="20" spans="1:10" x14ac:dyDescent="0.25">
      <c r="A20" s="6"/>
      <c r="B20" s="3"/>
      <c r="C20" s="3"/>
      <c r="D20" s="3"/>
      <c r="E20" s="3"/>
      <c r="F20" s="3"/>
      <c r="G20" s="3"/>
      <c r="H20" s="3"/>
      <c r="I20" s="3"/>
      <c r="J20" s="8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8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8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8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8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8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8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8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8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8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8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8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8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8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8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8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8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8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8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8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8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8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8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8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8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8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8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8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8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8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8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8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8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8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8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8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8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8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8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8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8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8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8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8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8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8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8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8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8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8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8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8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8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8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8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8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8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8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8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8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8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8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8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8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8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8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8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8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8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8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8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8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8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8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8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8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8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8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8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8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8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8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8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8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8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8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8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8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8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8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8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8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8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8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8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8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8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8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8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8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8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8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8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8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8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8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8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8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8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8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8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8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8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8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8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8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8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8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8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8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8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8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8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8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8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8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8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8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8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8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8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8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8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8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8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8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8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8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8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8"/>
    </row>
    <row r="160" spans="1:10" x14ac:dyDescent="0.25">
      <c r="A160" s="9"/>
      <c r="B160" s="10"/>
      <c r="C160" s="10"/>
      <c r="D160" s="10"/>
      <c r="E160" s="10"/>
      <c r="F160" s="10"/>
      <c r="G160" s="10"/>
      <c r="H160" s="10"/>
      <c r="I160" s="10"/>
      <c r="J160" s="11"/>
    </row>
  </sheetData>
  <conditionalFormatting sqref="A1">
    <cfRule type="expression" dxfId="23" priority="5">
      <formula>MOD(ROW(),2)=0</formula>
    </cfRule>
  </conditionalFormatting>
  <conditionalFormatting sqref="A10:XFD1048576">
    <cfRule type="expression" dxfId="22" priority="2">
      <formula>MOD(ROW(),2)=0</formula>
    </cfRule>
  </conditionalFormatting>
  <conditionalFormatting sqref="B1 D1:J1">
    <cfRule type="expression" dxfId="21" priority="4">
      <formula>MOD(ROW(),2)=0</formula>
    </cfRule>
  </conditionalFormatting>
  <conditionalFormatting sqref="D5">
    <cfRule type="expression" dxfId="20" priority="1">
      <formula>MOD(ROW(),2)=0</formula>
    </cfRule>
  </conditionalFormatting>
  <conditionalFormatting sqref="G2:XFD9">
    <cfRule type="expression" dxfId="19" priority="3">
      <formula>MOD(ROW(),2)=0</formula>
    </cfRule>
  </conditionalFormatting>
  <conditionalFormatting sqref="K1:XFD1">
    <cfRule type="expression" dxfId="18" priority="6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DEA30-A76E-BD4D-9236-C8CB76CC5C83}">
  <dimension ref="A1:J166"/>
  <sheetViews>
    <sheetView zoomScale="162" workbookViewId="0">
      <selection activeCell="D19" sqref="D19"/>
    </sheetView>
  </sheetViews>
  <sheetFormatPr baseColWidth="10" defaultColWidth="10.83203125" defaultRowHeight="18" x14ac:dyDescent="0.25"/>
  <cols>
    <col min="1" max="1" width="15.83203125" style="2" customWidth="1"/>
    <col min="2" max="2" width="16.33203125" style="2" customWidth="1"/>
    <col min="3" max="3" width="19.33203125" style="2" customWidth="1"/>
    <col min="4" max="4" width="17.33203125" style="2" customWidth="1"/>
    <col min="5" max="5" width="12.6640625" style="2" customWidth="1"/>
    <col min="6" max="6" width="13.83203125" style="2" customWidth="1"/>
    <col min="7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8">
        <v>1</v>
      </c>
      <c r="B2" s="18" t="s">
        <v>15</v>
      </c>
      <c r="C2" s="18" t="s">
        <v>16</v>
      </c>
      <c r="D2" s="18"/>
      <c r="E2" s="18"/>
      <c r="F2" s="20"/>
      <c r="G2" s="5"/>
      <c r="H2" s="5"/>
      <c r="I2" s="5"/>
      <c r="J2" s="7"/>
    </row>
    <row r="3" spans="1:10" x14ac:dyDescent="0.25">
      <c r="A3" s="19"/>
      <c r="B3" s="21"/>
      <c r="C3" s="21">
        <v>0.995</v>
      </c>
      <c r="D3" s="21"/>
      <c r="E3" s="21"/>
      <c r="F3" s="21"/>
      <c r="G3" s="3"/>
      <c r="H3" s="3"/>
      <c r="I3" s="3"/>
      <c r="J3" s="8"/>
    </row>
    <row r="4" spans="1:10" x14ac:dyDescent="0.25">
      <c r="A4" s="20">
        <v>2</v>
      </c>
      <c r="B4" s="20" t="s">
        <v>0</v>
      </c>
      <c r="C4" s="20" t="s">
        <v>1</v>
      </c>
      <c r="D4" s="20" t="s">
        <v>2</v>
      </c>
      <c r="E4" s="20" t="s">
        <v>3</v>
      </c>
      <c r="F4" s="20" t="s">
        <v>31</v>
      </c>
      <c r="G4" s="3"/>
      <c r="H4" s="3"/>
      <c r="I4" s="3"/>
      <c r="J4" s="8"/>
    </row>
    <row r="5" spans="1:10" x14ac:dyDescent="0.25">
      <c r="A5" s="19"/>
      <c r="B5" s="21"/>
      <c r="C5" s="21">
        <v>5433</v>
      </c>
      <c r="D5" s="25">
        <v>2.56</v>
      </c>
      <c r="E5" s="21">
        <v>0.02</v>
      </c>
      <c r="F5">
        <v>0.05</v>
      </c>
      <c r="G5" s="3"/>
      <c r="H5" s="3"/>
      <c r="I5" s="3"/>
      <c r="J5" s="8"/>
    </row>
    <row r="6" spans="1:10" x14ac:dyDescent="0.25">
      <c r="A6" s="20">
        <v>3</v>
      </c>
      <c r="B6" s="20" t="s">
        <v>38</v>
      </c>
      <c r="C6" s="20" t="s">
        <v>8</v>
      </c>
      <c r="D6" s="20" t="s">
        <v>9</v>
      </c>
      <c r="E6" s="20" t="s">
        <v>6</v>
      </c>
      <c r="F6" s="20" t="s">
        <v>7</v>
      </c>
      <c r="G6" s="3" t="s">
        <v>32</v>
      </c>
      <c r="H6" s="3"/>
      <c r="I6" s="3"/>
      <c r="J6" s="8"/>
    </row>
    <row r="7" spans="1:10" x14ac:dyDescent="0.25">
      <c r="A7" s="19"/>
      <c r="B7" s="21"/>
      <c r="C7" s="21">
        <v>5433</v>
      </c>
      <c r="D7" s="21">
        <v>22000</v>
      </c>
      <c r="E7" s="24">
        <v>0.217</v>
      </c>
      <c r="F7" s="24">
        <v>0.63</v>
      </c>
      <c r="G7" s="3">
        <v>0</v>
      </c>
      <c r="H7" s="3"/>
      <c r="I7" s="3"/>
      <c r="J7" s="8"/>
    </row>
    <row r="8" spans="1:10" x14ac:dyDescent="0.25">
      <c r="A8" s="20">
        <v>4</v>
      </c>
      <c r="B8" s="20" t="s">
        <v>39</v>
      </c>
      <c r="C8" s="20" t="s">
        <v>5</v>
      </c>
      <c r="D8" s="20" t="s">
        <v>17</v>
      </c>
      <c r="E8" s="20" t="s">
        <v>11</v>
      </c>
      <c r="F8" s="20" t="s">
        <v>33</v>
      </c>
      <c r="G8" s="3"/>
      <c r="H8" s="3"/>
      <c r="I8" s="3"/>
      <c r="J8" s="8"/>
    </row>
    <row r="9" spans="1:10" x14ac:dyDescent="0.25">
      <c r="A9" s="19"/>
      <c r="B9" s="21"/>
      <c r="C9" s="21">
        <f>D7</f>
        <v>22000</v>
      </c>
      <c r="D9" s="21">
        <v>120</v>
      </c>
      <c r="E9" s="21">
        <f>F7</f>
        <v>0.63</v>
      </c>
      <c r="F9" s="21">
        <v>0</v>
      </c>
      <c r="G9" s="3"/>
      <c r="H9" s="3"/>
      <c r="I9" s="3"/>
      <c r="J9" s="8"/>
    </row>
    <row r="10" spans="1:10" x14ac:dyDescent="0.25">
      <c r="A10" s="20">
        <v>13</v>
      </c>
      <c r="B10" s="20" t="s">
        <v>26</v>
      </c>
      <c r="C10" s="20" t="s">
        <v>16</v>
      </c>
      <c r="D10" s="3"/>
      <c r="E10" s="3"/>
      <c r="F10" s="3"/>
      <c r="G10" s="3"/>
      <c r="H10" s="3"/>
      <c r="I10" s="3"/>
      <c r="J10" s="8"/>
    </row>
    <row r="11" spans="1:10" x14ac:dyDescent="0.25">
      <c r="A11" s="21"/>
      <c r="B11" s="21"/>
      <c r="C11" s="21">
        <v>0.995</v>
      </c>
      <c r="D11" s="3"/>
      <c r="E11" s="3"/>
      <c r="F11" s="3"/>
      <c r="G11" s="3"/>
      <c r="H11" s="3"/>
      <c r="I11" s="3"/>
      <c r="J11" s="8"/>
    </row>
    <row r="12" spans="1:10" x14ac:dyDescent="0.25">
      <c r="A12" s="20">
        <v>14</v>
      </c>
      <c r="B12" s="20" t="s">
        <v>27</v>
      </c>
      <c r="C12" s="20" t="s">
        <v>16</v>
      </c>
      <c r="D12" s="3"/>
      <c r="E12" s="3"/>
      <c r="F12" s="3"/>
      <c r="G12" s="3"/>
      <c r="H12" s="3"/>
      <c r="I12" s="3"/>
      <c r="J12" s="8"/>
    </row>
    <row r="13" spans="1:10" x14ac:dyDescent="0.25">
      <c r="A13" s="21"/>
      <c r="B13" s="21"/>
      <c r="C13" s="21">
        <v>0.995</v>
      </c>
      <c r="D13" s="3"/>
      <c r="E13" s="3"/>
      <c r="F13" s="3"/>
      <c r="G13" s="3"/>
      <c r="H13" s="3"/>
      <c r="I13" s="3"/>
      <c r="J13" s="8"/>
    </row>
    <row r="14" spans="1:10" x14ac:dyDescent="0.25">
      <c r="A14" s="6"/>
      <c r="B14" s="3"/>
      <c r="C14" s="3"/>
      <c r="D14" s="3"/>
      <c r="E14" s="3"/>
      <c r="F14" s="3"/>
      <c r="G14" s="3"/>
      <c r="H14" s="3"/>
      <c r="I14" s="3"/>
      <c r="J14" s="8"/>
    </row>
    <row r="15" spans="1:10" x14ac:dyDescent="0.25">
      <c r="A15" s="6"/>
      <c r="B15" s="3"/>
      <c r="C15" s="3"/>
      <c r="D15" s="3"/>
      <c r="E15" s="3"/>
      <c r="F15" s="3"/>
      <c r="G15" s="3"/>
      <c r="H15" s="3"/>
      <c r="I15" s="3"/>
      <c r="J15" s="8"/>
    </row>
    <row r="16" spans="1:10" x14ac:dyDescent="0.25">
      <c r="A16" s="6"/>
      <c r="B16" s="3"/>
      <c r="C16" s="3"/>
      <c r="D16" s="3"/>
      <c r="E16" s="3"/>
      <c r="F16" s="3"/>
      <c r="G16" s="3"/>
      <c r="H16" s="3"/>
      <c r="I16" s="3"/>
      <c r="J16" s="8"/>
    </row>
    <row r="17" spans="1:10" x14ac:dyDescent="0.25">
      <c r="A17" s="6"/>
      <c r="B17" s="3"/>
      <c r="C17" s="3"/>
      <c r="D17" s="3"/>
      <c r="E17" s="3"/>
      <c r="F17" s="3"/>
      <c r="G17" s="3"/>
      <c r="H17" s="3"/>
      <c r="I17" s="3"/>
      <c r="J17" s="8"/>
    </row>
    <row r="18" spans="1:10" x14ac:dyDescent="0.25">
      <c r="A18" s="6"/>
      <c r="B18" s="3"/>
      <c r="C18" s="3"/>
      <c r="D18" s="3"/>
      <c r="E18" s="3"/>
      <c r="F18" s="3"/>
      <c r="G18" s="3"/>
      <c r="H18" s="3"/>
      <c r="I18" s="3"/>
      <c r="J18" s="8"/>
    </row>
    <row r="19" spans="1:10" x14ac:dyDescent="0.25">
      <c r="A19" s="6"/>
      <c r="B19" s="3"/>
      <c r="C19" s="3"/>
      <c r="D19" s="3"/>
      <c r="E19" s="3"/>
      <c r="F19" s="3"/>
      <c r="G19" s="3"/>
      <c r="H19" s="3"/>
      <c r="I19" s="3"/>
      <c r="J19" s="8"/>
    </row>
    <row r="20" spans="1:10" x14ac:dyDescent="0.25">
      <c r="A20" s="6"/>
      <c r="B20" s="3"/>
      <c r="C20" s="3"/>
      <c r="D20" s="3"/>
      <c r="E20" s="3"/>
      <c r="F20" s="3"/>
      <c r="G20" s="3"/>
      <c r="H20" s="3"/>
      <c r="I20" s="3"/>
      <c r="J20" s="8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8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8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8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8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8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8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8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8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8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8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8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8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8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8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8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8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8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8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8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8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8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8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8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8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8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8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8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8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8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8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8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8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8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8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8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8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8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8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8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8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8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8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8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8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8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8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8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8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8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8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8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8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8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8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8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8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8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8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8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8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8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8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8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8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8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8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8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8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8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8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8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8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8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8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8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8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8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8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8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8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8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8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8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8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8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8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8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8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8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8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8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8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8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8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8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8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8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8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8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8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8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8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8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8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8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8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8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8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8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8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8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8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8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8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8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8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8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8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8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8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8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8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8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8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8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8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8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8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8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8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8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8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8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8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8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8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8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8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8"/>
    </row>
    <row r="160" spans="1:10" x14ac:dyDescent="0.25">
      <c r="A160" s="9"/>
      <c r="B160" s="10"/>
      <c r="C160" s="10"/>
      <c r="D160" s="10"/>
      <c r="E160" s="10"/>
      <c r="F160" s="10"/>
      <c r="G160" s="10"/>
      <c r="H160" s="10"/>
      <c r="I160" s="10"/>
      <c r="J160" s="11"/>
    </row>
    <row r="161" s="2" customFormat="1" x14ac:dyDescent="0.25"/>
    <row r="162" s="2" customFormat="1" x14ac:dyDescent="0.25"/>
    <row r="163" s="2" customFormat="1" x14ac:dyDescent="0.25"/>
    <row r="164" s="2" customFormat="1" x14ac:dyDescent="0.25"/>
    <row r="165" s="2" customFormat="1" x14ac:dyDescent="0.25"/>
    <row r="166" s="2" customFormat="1" x14ac:dyDescent="0.25"/>
  </sheetData>
  <conditionalFormatting sqref="A1">
    <cfRule type="expression" dxfId="17" priority="5">
      <formula>MOD(ROW(),2)=0</formula>
    </cfRule>
  </conditionalFormatting>
  <conditionalFormatting sqref="A10:XFD1048576">
    <cfRule type="expression" dxfId="16" priority="2">
      <formula>MOD(ROW(),2)=0</formula>
    </cfRule>
  </conditionalFormatting>
  <conditionalFormatting sqref="B1 D1:J1">
    <cfRule type="expression" dxfId="15" priority="4">
      <formula>MOD(ROW(),2)=0</formula>
    </cfRule>
  </conditionalFormatting>
  <conditionalFormatting sqref="D5">
    <cfRule type="expression" dxfId="14" priority="1">
      <formula>MOD(ROW(),2)=0</formula>
    </cfRule>
  </conditionalFormatting>
  <conditionalFormatting sqref="G2:XFD9">
    <cfRule type="expression" dxfId="13" priority="3">
      <formula>MOD(ROW(),2)=0</formula>
    </cfRule>
  </conditionalFormatting>
  <conditionalFormatting sqref="K1:XFD1">
    <cfRule type="expression" dxfId="12" priority="6">
      <formula>MOD(ROW(),2)=0</formula>
    </cfRule>
  </conditionalFormatting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4AE65-6805-654B-822E-6794F8A95DDE}">
  <dimension ref="A1:J160"/>
  <sheetViews>
    <sheetView zoomScale="138" workbookViewId="0">
      <selection activeCell="E11" sqref="E11"/>
    </sheetView>
  </sheetViews>
  <sheetFormatPr baseColWidth="10" defaultColWidth="10.83203125" defaultRowHeight="18" x14ac:dyDescent="0.25"/>
  <cols>
    <col min="1" max="1" width="15.83203125" style="2" customWidth="1"/>
    <col min="2" max="2" width="16.33203125" style="2" customWidth="1"/>
    <col min="3" max="3" width="19.33203125" style="2" customWidth="1"/>
    <col min="4" max="4" width="17.33203125" style="2" customWidth="1"/>
    <col min="5" max="5" width="12.6640625" style="2" customWidth="1"/>
    <col min="6" max="6" width="13.83203125" style="2" customWidth="1"/>
    <col min="7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8">
        <v>1</v>
      </c>
      <c r="B2" s="18" t="s">
        <v>15</v>
      </c>
      <c r="C2" s="18" t="s">
        <v>16</v>
      </c>
      <c r="D2" s="18"/>
      <c r="E2" s="18"/>
      <c r="F2" s="20"/>
      <c r="G2" s="5"/>
      <c r="H2" s="5"/>
      <c r="I2" s="5"/>
      <c r="J2" s="7"/>
    </row>
    <row r="3" spans="1:10" x14ac:dyDescent="0.25">
      <c r="A3" s="19"/>
      <c r="B3" s="21"/>
      <c r="C3" s="21">
        <v>0.995</v>
      </c>
      <c r="D3" s="21"/>
      <c r="E3" s="21"/>
      <c r="F3" s="21"/>
      <c r="G3" s="3"/>
      <c r="H3" s="3"/>
      <c r="I3" s="3"/>
      <c r="J3" s="8"/>
    </row>
    <row r="4" spans="1:10" x14ac:dyDescent="0.25">
      <c r="A4" s="20">
        <v>2</v>
      </c>
      <c r="B4" s="20" t="s">
        <v>0</v>
      </c>
      <c r="C4" s="20" t="s">
        <v>1</v>
      </c>
      <c r="D4" s="20" t="s">
        <v>2</v>
      </c>
      <c r="E4" s="20" t="s">
        <v>3</v>
      </c>
      <c r="F4" s="20" t="s">
        <v>31</v>
      </c>
      <c r="G4" s="3"/>
      <c r="H4" s="3"/>
      <c r="I4" s="3"/>
      <c r="J4" s="8"/>
    </row>
    <row r="5" spans="1:10" x14ac:dyDescent="0.25">
      <c r="A5" s="19"/>
      <c r="B5" s="21"/>
      <c r="C5" s="21">
        <v>7815</v>
      </c>
      <c r="D5" s="25">
        <v>2.56</v>
      </c>
      <c r="E5" s="21">
        <v>0.02</v>
      </c>
      <c r="F5">
        <v>0.05</v>
      </c>
      <c r="G5" s="3"/>
      <c r="H5" s="3"/>
      <c r="I5" s="3"/>
      <c r="J5" s="8"/>
    </row>
    <row r="6" spans="1:10" x14ac:dyDescent="0.25">
      <c r="A6" s="20">
        <v>3</v>
      </c>
      <c r="B6" s="20" t="s">
        <v>38</v>
      </c>
      <c r="C6" s="20" t="s">
        <v>8</v>
      </c>
      <c r="D6" s="20" t="s">
        <v>9</v>
      </c>
      <c r="E6" s="20" t="s">
        <v>6</v>
      </c>
      <c r="F6" s="20" t="s">
        <v>7</v>
      </c>
      <c r="G6" s="3" t="s">
        <v>32</v>
      </c>
      <c r="H6" s="3"/>
      <c r="I6" s="3"/>
      <c r="J6" s="8"/>
    </row>
    <row r="7" spans="1:10" x14ac:dyDescent="0.25">
      <c r="A7" s="19"/>
      <c r="B7" s="21"/>
      <c r="C7" s="21">
        <v>7815</v>
      </c>
      <c r="D7" s="21">
        <v>33000</v>
      </c>
      <c r="E7" s="24">
        <v>0.217</v>
      </c>
      <c r="F7" s="24">
        <v>0.63</v>
      </c>
      <c r="G7" s="3">
        <v>0</v>
      </c>
      <c r="H7" s="3"/>
      <c r="I7" s="3"/>
      <c r="J7" s="8"/>
    </row>
    <row r="8" spans="1:10" x14ac:dyDescent="0.25">
      <c r="A8" s="20">
        <v>4</v>
      </c>
      <c r="B8" s="20" t="s">
        <v>39</v>
      </c>
      <c r="C8" s="20" t="s">
        <v>5</v>
      </c>
      <c r="D8" s="20" t="s">
        <v>17</v>
      </c>
      <c r="E8" s="20" t="s">
        <v>11</v>
      </c>
      <c r="F8" s="20" t="s">
        <v>33</v>
      </c>
      <c r="G8" s="3"/>
      <c r="H8" s="3"/>
      <c r="I8" s="3"/>
      <c r="J8" s="8"/>
    </row>
    <row r="9" spans="1:10" x14ac:dyDescent="0.25">
      <c r="A9" s="19"/>
      <c r="B9" s="21"/>
      <c r="C9" s="21">
        <f>D7</f>
        <v>33000</v>
      </c>
      <c r="D9" s="21">
        <v>800</v>
      </c>
      <c r="E9" s="21">
        <v>0.76</v>
      </c>
      <c r="F9" s="21">
        <v>0</v>
      </c>
      <c r="G9" s="3"/>
      <c r="H9" s="3"/>
      <c r="I9" s="3"/>
      <c r="J9" s="8"/>
    </row>
    <row r="10" spans="1:10" x14ac:dyDescent="0.25">
      <c r="A10" s="20">
        <v>13</v>
      </c>
      <c r="B10" s="20" t="s">
        <v>26</v>
      </c>
      <c r="C10" s="20" t="s">
        <v>16</v>
      </c>
      <c r="D10" s="3"/>
      <c r="E10" s="3"/>
      <c r="F10" s="3"/>
      <c r="G10" s="3"/>
      <c r="H10" s="3"/>
      <c r="I10" s="3"/>
      <c r="J10" s="8"/>
    </row>
    <row r="11" spans="1:10" x14ac:dyDescent="0.25">
      <c r="A11" s="21"/>
      <c r="B11" s="21"/>
      <c r="C11" s="21">
        <v>0.995</v>
      </c>
      <c r="D11" s="3"/>
      <c r="E11" s="3"/>
      <c r="F11" s="3"/>
      <c r="G11" s="3"/>
      <c r="H11" s="3"/>
      <c r="I11" s="3"/>
      <c r="J11" s="8"/>
    </row>
    <row r="12" spans="1:10" x14ac:dyDescent="0.25">
      <c r="A12" s="20">
        <v>14</v>
      </c>
      <c r="B12" s="20" t="s">
        <v>27</v>
      </c>
      <c r="C12" s="20" t="s">
        <v>16</v>
      </c>
      <c r="D12" s="3"/>
      <c r="E12" s="3"/>
      <c r="F12" s="3"/>
      <c r="G12" s="3"/>
      <c r="H12" s="3"/>
      <c r="I12" s="3"/>
      <c r="J12" s="8"/>
    </row>
    <row r="13" spans="1:10" x14ac:dyDescent="0.25">
      <c r="A13" s="21"/>
      <c r="B13" s="21"/>
      <c r="C13" s="21">
        <v>0.995</v>
      </c>
      <c r="D13" s="3"/>
      <c r="E13" s="3"/>
      <c r="F13" s="3"/>
      <c r="G13" s="3"/>
      <c r="H13" s="3"/>
      <c r="I13" s="3"/>
      <c r="J13" s="8"/>
    </row>
    <row r="14" spans="1:10" x14ac:dyDescent="0.25">
      <c r="A14" s="6"/>
      <c r="B14" s="3"/>
      <c r="C14" s="3"/>
      <c r="D14" s="3"/>
      <c r="E14" s="3"/>
      <c r="F14" s="3"/>
      <c r="G14" s="3"/>
      <c r="H14" s="3"/>
      <c r="I14" s="3"/>
      <c r="J14" s="8"/>
    </row>
    <row r="15" spans="1:10" x14ac:dyDescent="0.25">
      <c r="A15" s="6"/>
      <c r="B15" s="3"/>
      <c r="C15" s="3"/>
      <c r="D15" s="3"/>
      <c r="E15" s="3"/>
      <c r="F15" s="3"/>
      <c r="G15" s="3"/>
      <c r="H15" s="3"/>
      <c r="I15" s="3"/>
      <c r="J15" s="8"/>
    </row>
    <row r="16" spans="1:10" x14ac:dyDescent="0.25">
      <c r="A16" s="6"/>
      <c r="B16" s="3"/>
      <c r="C16" s="3"/>
      <c r="D16" s="3"/>
      <c r="E16" s="3"/>
      <c r="F16" s="3"/>
      <c r="G16" s="3"/>
      <c r="H16" s="3"/>
      <c r="I16" s="3"/>
      <c r="J16" s="8"/>
    </row>
    <row r="17" spans="1:10" x14ac:dyDescent="0.25">
      <c r="A17" s="6"/>
      <c r="B17" s="3"/>
      <c r="C17" s="3"/>
      <c r="D17" s="3"/>
      <c r="E17" s="3"/>
      <c r="F17" s="3"/>
      <c r="G17" s="3"/>
      <c r="H17" s="3"/>
      <c r="I17" s="3"/>
      <c r="J17" s="8"/>
    </row>
    <row r="18" spans="1:10" x14ac:dyDescent="0.25">
      <c r="A18" s="6"/>
      <c r="B18" s="3"/>
      <c r="C18" s="3"/>
      <c r="D18" s="3"/>
      <c r="E18" s="3"/>
      <c r="F18" s="3"/>
      <c r="G18" s="3"/>
      <c r="H18" s="3"/>
      <c r="I18" s="3"/>
      <c r="J18" s="8"/>
    </row>
    <row r="19" spans="1:10" x14ac:dyDescent="0.25">
      <c r="A19" s="6"/>
      <c r="B19" s="3"/>
      <c r="C19" s="3"/>
      <c r="D19" s="3"/>
      <c r="E19" s="3"/>
      <c r="F19" s="3"/>
      <c r="G19" s="3"/>
      <c r="H19" s="3"/>
      <c r="I19" s="3"/>
      <c r="J19" s="8"/>
    </row>
    <row r="20" spans="1:10" x14ac:dyDescent="0.25">
      <c r="A20" s="6"/>
      <c r="B20" s="3"/>
      <c r="C20" s="3"/>
      <c r="D20" s="3"/>
      <c r="E20" s="3"/>
      <c r="F20" s="3"/>
      <c r="G20" s="3"/>
      <c r="H20" s="3"/>
      <c r="I20" s="3"/>
      <c r="J20" s="8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8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8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8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8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8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8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8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8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8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8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8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8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8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8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8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8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8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8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8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8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8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8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8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8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8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8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8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8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8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8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8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8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8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8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8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8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8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8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8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8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8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8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8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8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8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8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8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8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8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8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8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8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8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8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8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8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8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8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8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8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8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8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8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8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8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8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8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8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8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8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8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8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8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8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8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8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8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8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8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8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8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8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8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8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8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8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8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8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8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8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8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8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8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8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8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8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8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8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8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8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8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8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8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8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8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8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8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8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8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8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8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8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8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8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8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8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8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8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8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8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8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8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8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8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8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8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8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8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8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8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8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8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8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8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8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8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8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8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8"/>
    </row>
    <row r="160" spans="1:10" x14ac:dyDescent="0.25">
      <c r="A160" s="9"/>
      <c r="B160" s="10"/>
      <c r="C160" s="10"/>
      <c r="D160" s="10"/>
      <c r="E160" s="10"/>
      <c r="F160" s="10"/>
      <c r="G160" s="10"/>
      <c r="H160" s="10"/>
      <c r="I160" s="10"/>
      <c r="J160" s="11"/>
    </row>
  </sheetData>
  <conditionalFormatting sqref="A1">
    <cfRule type="expression" dxfId="11" priority="5">
      <formula>MOD(ROW(),2)=0</formula>
    </cfRule>
  </conditionalFormatting>
  <conditionalFormatting sqref="A10:XFD1048576">
    <cfRule type="expression" dxfId="10" priority="2">
      <formula>MOD(ROW(),2)=0</formula>
    </cfRule>
  </conditionalFormatting>
  <conditionalFormatting sqref="B1 D1:J1">
    <cfRule type="expression" dxfId="9" priority="4">
      <formula>MOD(ROW(),2)=0</formula>
    </cfRule>
  </conditionalFormatting>
  <conditionalFormatting sqref="D5">
    <cfRule type="expression" dxfId="8" priority="1">
      <formula>MOD(ROW(),2)=0</formula>
    </cfRule>
  </conditionalFormatting>
  <conditionalFormatting sqref="G2:XFD9">
    <cfRule type="expression" dxfId="7" priority="3">
      <formula>MOD(ROW(),2)=0</formula>
    </cfRule>
  </conditionalFormatting>
  <conditionalFormatting sqref="K1:XFD1">
    <cfRule type="expression" dxfId="6" priority="6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9F18C-D7F6-5E4D-ADD0-ED755A681F08}">
  <dimension ref="A1:J166"/>
  <sheetViews>
    <sheetView zoomScale="125" workbookViewId="0">
      <selection activeCell="E18" sqref="E18"/>
    </sheetView>
  </sheetViews>
  <sheetFormatPr baseColWidth="10" defaultColWidth="10.83203125" defaultRowHeight="18" x14ac:dyDescent="0.25"/>
  <cols>
    <col min="1" max="1" width="15.83203125" style="2" customWidth="1"/>
    <col min="2" max="2" width="16.33203125" style="2" customWidth="1"/>
    <col min="3" max="3" width="19.33203125" style="2" customWidth="1"/>
    <col min="4" max="4" width="17.33203125" style="2" customWidth="1"/>
    <col min="5" max="5" width="12.6640625" style="2" customWidth="1"/>
    <col min="6" max="6" width="13.83203125" style="2" customWidth="1"/>
    <col min="7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8">
        <v>1</v>
      </c>
      <c r="B2" s="18" t="s">
        <v>15</v>
      </c>
      <c r="C2" s="18" t="s">
        <v>16</v>
      </c>
      <c r="D2" s="18"/>
      <c r="E2" s="18"/>
      <c r="F2" s="20"/>
      <c r="G2" s="5"/>
      <c r="H2" s="5"/>
      <c r="I2" s="5"/>
      <c r="J2" s="7"/>
    </row>
    <row r="3" spans="1:10" x14ac:dyDescent="0.25">
      <c r="A3" s="19"/>
      <c r="B3" s="21"/>
      <c r="C3" s="21">
        <v>0.995</v>
      </c>
      <c r="D3" s="21"/>
      <c r="E3" s="21"/>
      <c r="F3" s="21"/>
      <c r="G3" s="3"/>
      <c r="H3" s="3"/>
      <c r="I3" s="3"/>
      <c r="J3" s="8"/>
    </row>
    <row r="4" spans="1:10" x14ac:dyDescent="0.25">
      <c r="A4" s="20">
        <v>2</v>
      </c>
      <c r="B4" s="20" t="s">
        <v>0</v>
      </c>
      <c r="C4" s="20" t="s">
        <v>1</v>
      </c>
      <c r="D4" s="20" t="s">
        <v>2</v>
      </c>
      <c r="E4" s="20" t="s">
        <v>3</v>
      </c>
      <c r="F4" s="20" t="s">
        <v>31</v>
      </c>
      <c r="G4" s="3"/>
      <c r="H4" s="3"/>
      <c r="I4" s="3"/>
      <c r="J4" s="8"/>
    </row>
    <row r="5" spans="1:10" x14ac:dyDescent="0.25">
      <c r="A5" s="19"/>
      <c r="B5" s="21"/>
      <c r="C5" s="21">
        <v>5594</v>
      </c>
      <c r="D5" s="25">
        <v>2.56</v>
      </c>
      <c r="E5" s="21">
        <v>0.02</v>
      </c>
      <c r="F5">
        <v>0.05</v>
      </c>
      <c r="G5" s="3"/>
      <c r="H5" s="3"/>
      <c r="I5" s="3"/>
      <c r="J5" s="8"/>
    </row>
    <row r="6" spans="1:10" x14ac:dyDescent="0.25">
      <c r="A6" s="20">
        <v>3</v>
      </c>
      <c r="B6" s="20" t="s">
        <v>38</v>
      </c>
      <c r="C6" s="20" t="s">
        <v>8</v>
      </c>
      <c r="D6" s="20" t="s">
        <v>9</v>
      </c>
      <c r="E6" s="20" t="s">
        <v>6</v>
      </c>
      <c r="F6" s="20" t="s">
        <v>7</v>
      </c>
      <c r="G6" s="3" t="s">
        <v>32</v>
      </c>
      <c r="H6" s="3"/>
      <c r="I6" s="3"/>
      <c r="J6" s="8"/>
    </row>
    <row r="7" spans="1:10" x14ac:dyDescent="0.25">
      <c r="A7" s="19"/>
      <c r="B7" s="21"/>
      <c r="C7" s="21">
        <v>5594</v>
      </c>
      <c r="D7" s="21">
        <v>33000</v>
      </c>
      <c r="E7" s="24">
        <v>0.217</v>
      </c>
      <c r="F7" s="24">
        <v>0.63</v>
      </c>
      <c r="G7" s="3">
        <v>0</v>
      </c>
      <c r="H7" s="3"/>
      <c r="I7" s="3"/>
      <c r="J7" s="8"/>
    </row>
    <row r="8" spans="1:10" x14ac:dyDescent="0.25">
      <c r="A8" s="20">
        <v>4</v>
      </c>
      <c r="B8" s="20" t="s">
        <v>39</v>
      </c>
      <c r="C8" s="20" t="s">
        <v>5</v>
      </c>
      <c r="D8" s="20" t="s">
        <v>17</v>
      </c>
      <c r="E8" s="20" t="s">
        <v>11</v>
      </c>
      <c r="F8" s="20" t="s">
        <v>33</v>
      </c>
      <c r="G8" s="3"/>
      <c r="H8" s="3"/>
      <c r="I8" s="3"/>
      <c r="J8" s="8"/>
    </row>
    <row r="9" spans="1:10" x14ac:dyDescent="0.25">
      <c r="A9" s="19"/>
      <c r="B9" s="21"/>
      <c r="C9" s="21">
        <f>D7</f>
        <v>33000</v>
      </c>
      <c r="D9" s="21">
        <v>800</v>
      </c>
      <c r="E9" s="21">
        <v>0.76</v>
      </c>
      <c r="F9" s="21">
        <v>0</v>
      </c>
      <c r="G9" s="3"/>
      <c r="H9" s="3"/>
      <c r="I9" s="3"/>
      <c r="J9" s="8"/>
    </row>
    <row r="10" spans="1:10" x14ac:dyDescent="0.25">
      <c r="A10" s="20">
        <v>13</v>
      </c>
      <c r="B10" s="20" t="s">
        <v>26</v>
      </c>
      <c r="C10" s="20" t="s">
        <v>16</v>
      </c>
      <c r="D10" s="3"/>
      <c r="E10" s="3"/>
      <c r="F10" s="3"/>
      <c r="G10" s="3"/>
      <c r="H10" s="3"/>
      <c r="I10" s="3"/>
      <c r="J10" s="8"/>
    </row>
    <row r="11" spans="1:10" x14ac:dyDescent="0.25">
      <c r="A11" s="21"/>
      <c r="B11" s="21"/>
      <c r="C11" s="21">
        <v>0.995</v>
      </c>
      <c r="D11" s="3"/>
      <c r="E11" s="3"/>
      <c r="F11" s="3"/>
      <c r="G11" s="3"/>
      <c r="H11" s="3"/>
      <c r="I11" s="3"/>
      <c r="J11" s="8"/>
    </row>
    <row r="12" spans="1:10" x14ac:dyDescent="0.25">
      <c r="A12" s="20">
        <v>14</v>
      </c>
      <c r="B12" s="20" t="s">
        <v>27</v>
      </c>
      <c r="C12" s="20" t="s">
        <v>16</v>
      </c>
      <c r="D12" s="3"/>
      <c r="E12" s="3"/>
      <c r="F12" s="3"/>
      <c r="G12" s="3"/>
      <c r="H12" s="3"/>
      <c r="I12" s="3"/>
      <c r="J12" s="8"/>
    </row>
    <row r="13" spans="1:10" x14ac:dyDescent="0.25">
      <c r="A13" s="21"/>
      <c r="B13" s="21"/>
      <c r="C13" s="21">
        <v>0.995</v>
      </c>
      <c r="D13" s="3"/>
      <c r="E13" s="3"/>
      <c r="F13" s="3"/>
      <c r="G13" s="3"/>
      <c r="H13" s="3"/>
      <c r="I13" s="3"/>
      <c r="J13" s="8"/>
    </row>
    <row r="14" spans="1:10" x14ac:dyDescent="0.25">
      <c r="A14" s="6"/>
      <c r="B14" s="3"/>
      <c r="C14" s="3"/>
      <c r="D14" s="3"/>
      <c r="E14" s="3"/>
      <c r="F14" s="3"/>
      <c r="G14" s="3"/>
      <c r="H14" s="3"/>
      <c r="I14" s="3"/>
      <c r="J14" s="8"/>
    </row>
    <row r="15" spans="1:10" x14ac:dyDescent="0.25">
      <c r="A15" s="6"/>
      <c r="B15" s="3"/>
      <c r="C15" s="3"/>
      <c r="D15" s="3"/>
      <c r="E15" s="3"/>
      <c r="F15" s="3"/>
      <c r="G15" s="3"/>
      <c r="H15" s="3"/>
      <c r="I15" s="3"/>
      <c r="J15" s="8"/>
    </row>
    <row r="16" spans="1:10" x14ac:dyDescent="0.25">
      <c r="A16" s="6"/>
      <c r="B16" s="3"/>
      <c r="C16" s="3"/>
      <c r="D16" s="3"/>
      <c r="E16" s="3"/>
      <c r="F16" s="3"/>
      <c r="G16" s="3"/>
      <c r="H16" s="3"/>
      <c r="I16" s="3"/>
      <c r="J16" s="8"/>
    </row>
    <row r="17" spans="1:10" x14ac:dyDescent="0.25">
      <c r="A17" s="6"/>
      <c r="B17" s="3"/>
      <c r="C17" s="3"/>
      <c r="D17" s="3"/>
      <c r="E17" s="3"/>
      <c r="F17" s="3"/>
      <c r="G17" s="3"/>
      <c r="H17" s="3"/>
      <c r="I17" s="3"/>
      <c r="J17" s="8"/>
    </row>
    <row r="18" spans="1:10" x14ac:dyDescent="0.25">
      <c r="A18" s="6"/>
      <c r="B18" s="3"/>
      <c r="C18" s="3"/>
      <c r="D18" s="3"/>
      <c r="E18" s="3"/>
      <c r="F18" s="3"/>
      <c r="G18" s="3"/>
      <c r="H18" s="3"/>
      <c r="I18" s="3"/>
      <c r="J18" s="8"/>
    </row>
    <row r="19" spans="1:10" x14ac:dyDescent="0.25">
      <c r="A19" s="6"/>
      <c r="B19" s="3"/>
      <c r="C19" s="3"/>
      <c r="D19" s="3"/>
      <c r="E19" s="3"/>
      <c r="F19" s="3"/>
      <c r="G19" s="3"/>
      <c r="H19" s="3"/>
      <c r="I19" s="3"/>
      <c r="J19" s="8"/>
    </row>
    <row r="20" spans="1:10" x14ac:dyDescent="0.25">
      <c r="A20" s="6"/>
      <c r="B20" s="3"/>
      <c r="C20" s="3"/>
      <c r="D20" s="3"/>
      <c r="E20" s="3"/>
      <c r="F20" s="3"/>
      <c r="G20" s="3"/>
      <c r="H20" s="3"/>
      <c r="I20" s="3"/>
      <c r="J20" s="8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8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8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8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8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8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8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8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8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8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8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8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8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8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8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8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8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8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8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8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8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8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8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8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8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8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8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8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8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8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8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8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8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8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8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8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8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8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8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8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8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8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8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8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8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8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8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8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8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8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8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8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8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8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8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8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8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8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8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8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8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8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8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8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8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8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8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8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8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8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8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8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8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8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8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8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8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8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8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8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8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8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8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8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8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8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8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8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8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8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8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8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8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8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8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8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8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8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8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8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8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8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8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8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8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8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8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8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8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8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8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8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8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8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8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8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8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8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8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8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8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8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8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8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8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8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8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8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8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8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8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8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8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8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8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8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8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8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8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8"/>
    </row>
    <row r="160" spans="1:10" x14ac:dyDescent="0.25">
      <c r="A160" s="9"/>
      <c r="B160" s="10"/>
      <c r="C160" s="10"/>
      <c r="D160" s="10"/>
      <c r="E160" s="10"/>
      <c r="F160" s="10"/>
      <c r="G160" s="10"/>
      <c r="H160" s="10"/>
      <c r="I160" s="10"/>
      <c r="J160" s="11"/>
    </row>
    <row r="161" s="2" customFormat="1" x14ac:dyDescent="0.25"/>
    <row r="162" s="2" customFormat="1" x14ac:dyDescent="0.25"/>
    <row r="163" s="2" customFormat="1" x14ac:dyDescent="0.25"/>
    <row r="164" s="2" customFormat="1" x14ac:dyDescent="0.25"/>
    <row r="165" s="2" customFormat="1" x14ac:dyDescent="0.25"/>
    <row r="166" s="2" customFormat="1" x14ac:dyDescent="0.25"/>
  </sheetData>
  <conditionalFormatting sqref="A1">
    <cfRule type="expression" dxfId="5" priority="5">
      <formula>MOD(ROW(),2)=0</formula>
    </cfRule>
  </conditionalFormatting>
  <conditionalFormatting sqref="A10:XFD1048576">
    <cfRule type="expression" dxfId="4" priority="2">
      <formula>MOD(ROW(),2)=0</formula>
    </cfRule>
  </conditionalFormatting>
  <conditionalFormatting sqref="B1 D1:J1">
    <cfRule type="expression" dxfId="3" priority="4">
      <formula>MOD(ROW(),2)=0</formula>
    </cfRule>
  </conditionalFormatting>
  <conditionalFormatting sqref="D5">
    <cfRule type="expression" dxfId="2" priority="1">
      <formula>MOD(ROW(),2)=0</formula>
    </cfRule>
  </conditionalFormatting>
  <conditionalFormatting sqref="G2:XFD9">
    <cfRule type="expression" dxfId="1" priority="3">
      <formula>MOD(ROW(),2)=0</formula>
    </cfRule>
  </conditionalFormatting>
  <conditionalFormatting sqref="K1:XFD1">
    <cfRule type="expression" dxfId="0" priority="6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Templates</vt:lpstr>
      <vt:lpstr>Outbound Short (KASE -&gt; KDEN)</vt:lpstr>
      <vt:lpstr>Inbound Short (KDEN -&gt; KASE)</vt:lpstr>
      <vt:lpstr>Outbound Long (KASE -&gt; KORD)</vt:lpstr>
      <vt:lpstr>Inbound Long (KORD -&gt; KASE)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Tyler Brining</cp:lastModifiedBy>
  <dcterms:created xsi:type="dcterms:W3CDTF">2024-11-07T17:59:15Z</dcterms:created>
  <dcterms:modified xsi:type="dcterms:W3CDTF">2026-09-16T21:05:48Z</dcterms:modified>
</cp:coreProperties>
</file>