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yty/Documents/MATLAB/AircraftDesignToolbox-Feb23/MAIN/Input Excel Sheets/Point Performance Requirements/"/>
    </mc:Choice>
  </mc:AlternateContent>
  <xr:revisionPtr revIDLastSave="0" documentId="13_ncr:1_{F2C40AAC-F0AE-9546-973A-F36D3535D1DB}" xr6:coauthVersionLast="47" xr6:coauthVersionMax="47" xr10:uidLastSave="{00000000-0000-0000-0000-000000000000}"/>
  <bookViews>
    <workbookView xWindow="0" yWindow="660" windowWidth="30240" windowHeight="18980" activeTab="3" xr2:uid="{AC12A90C-16A5-0547-A6DB-57534C200D25}"/>
  </bookViews>
  <sheets>
    <sheet name="Templates" sheetId="2" r:id="rId1"/>
    <sheet name="Sheet1" sheetId="12" r:id="rId2"/>
    <sheet name="MD80" sheetId="9" r:id="rId3"/>
    <sheet name="B717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2" l="1"/>
  <c r="G11" i="12"/>
  <c r="G9" i="12"/>
  <c r="E9" i="12"/>
  <c r="E11" i="12" s="1"/>
  <c r="E13" i="12" s="1"/>
  <c r="G7" i="12"/>
  <c r="E9" i="9"/>
  <c r="E11" i="9" s="1"/>
  <c r="E13" i="9" s="1"/>
  <c r="G13" i="9"/>
  <c r="G11" i="9"/>
  <c r="G9" i="9"/>
  <c r="G7" i="9"/>
</calcChain>
</file>

<file path=xl/sharedStrings.xml><?xml version="1.0" encoding="utf-8"?>
<sst xmlns="http://schemas.openxmlformats.org/spreadsheetml/2006/main" count="295" uniqueCount="41">
  <si>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</si>
  <si>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</si>
  <si>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</si>
  <si>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</si>
  <si>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</si>
  <si>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</si>
  <si>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</si>
  <si>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</si>
  <si>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</si>
  <si>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</si>
  <si>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</si>
  <si>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</si>
  <si>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</si>
  <si>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</si>
  <si>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</si>
  <si>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</si>
  <si>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</si>
  <si>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</si>
  <si>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</si>
  <si>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</si>
  <si>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</si>
  <si>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</si>
  <si>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</si>
  <si>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</si>
  <si>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</si>
  <si>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</si>
  <si>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</si>
  <si>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</si>
  <si>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</si>
  <si>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</si>
  <si>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</si>
  <si>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</si>
  <si>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Landing Distance</t>
  </si>
  <si>
    <t>Landing Distance [ft]</t>
  </si>
  <si>
    <t xml:space="preserve">Takeoff </t>
  </si>
  <si>
    <t xml:space="preserve">Landing </t>
  </si>
  <si>
    <t>VTOL</t>
  </si>
  <si>
    <t>Altitude[ft]</t>
  </si>
  <si>
    <t>V_Climb [ft/s]</t>
  </si>
  <si>
    <t>Landing</t>
  </si>
  <si>
    <t>Takeoff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</si>
</sst>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b/>
      <sz val="12"/>
      <color theme="0"/>
      <name val="Arial Unicode MS"/>
      <family val="2"/>
    </font>
    <font>
      <sz val="12"/>
      <color theme="1"/>
      <name val="Aptos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1" xfId="0" applyFont="1" applyFill="1" applyBorder="1"/>
    <xf numFmtId="0" fontId="2" fillId="0" borderId="7" xfId="0" applyFont="1" applyBorder="1"/>
    <xf numFmtId="0" fontId="1" fillId="2" borderId="2" xfId="0" applyFont="1" applyFill="1" applyBorder="1"/>
    <xf numFmtId="0" fontId="1" fillId="2" borderId="6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2" fillId="0" borderId="9" xfId="0" applyFont="1" applyBorder="1"/>
    <xf numFmtId="0" fontId="2" fillId="2" borderId="7" xfId="0" applyFont="1" applyFill="1" applyBorder="1"/>
    <xf numFmtId="0" fontId="2" fillId="2" borderId="9" xfId="0" applyFont="1" applyFill="1" applyBorder="1"/>
    <xf numFmtId="0" fontId="2" fillId="2" borderId="2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5" fillId="3" borderId="8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1" xfId="0" applyFont="1" applyFill="1" applyBorder="1"/>
    <xf numFmtId="0" fontId="1" fillId="0" borderId="4" xfId="0" applyFont="1" applyBorder="1"/>
    <xf numFmtId="0" fontId="1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3" fillId="0" borderId="0" xfId="0" applyFont="1"/>
    <xf numFmtId="0" fontId="3" fillId="0" borderId="17" xfId="0" applyFont="1" applyBorder="1"/>
    <xf numFmtId="0" fontId="3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</cellXfs>
  <cellStyles count="1">
    <cellStyle name="Normal" xfId="0" builtinId="0"/>
  </cellStyles>
  <dxfs count="29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C58F64-F3A1-4898-83A5-3F57B6095FCC}" name="Table3236" displayName="Table3236" ref="A1:K198" totalsRowShown="0" headerRowDxfId="28" dataDxfId="27" tableBorderDxfId="26">
  <autoFilter ref="A1:K198" xr:uid="{90C58F64-F3A1-4898-83A5-3F57B6095FCC}"/>
  <tableColumns count="11">
    <tableColumn id="1" xr3:uid="{7DFADB5A-8F64-4660-904D-87CF721F0D3A}" name="Requirement #" dataDxfId="25"/>
    <tableColumn id="2" xr3:uid="{B1A68BAB-1F7B-4EBE-88C7-192625495DBD}" name="Requirement Type" dataDxfId="24"/>
    <tableColumn id="3" xr3:uid="{E7044708-4BB9-454C-A1D6-6E4DE150D52B}" name="Input 1" dataDxfId="23"/>
    <tableColumn id="4" xr3:uid="{426C3826-355B-4B3D-B1F6-999DA7E36090}" name="Input 2" dataDxfId="22"/>
    <tableColumn id="5" xr3:uid="{97F7A777-FB06-403D-AFA0-856F0E459229}" name="Input 3" dataDxfId="21"/>
    <tableColumn id="6" xr3:uid="{08FCBA34-BDA0-44E9-87D6-5F239A0BA8AD}" name="Input 4" dataDxfId="20"/>
    <tableColumn id="7" xr3:uid="{9FF0D62B-7510-4E2F-A3F6-E4C55B3B8B78}" name="Input 5" dataDxfId="19"/>
    <tableColumn id="8" xr3:uid="{915D5782-D559-4691-B6C3-205363F92141}" name="Input 6" dataDxfId="18"/>
    <tableColumn id="9" xr3:uid="{BD0837DA-7473-4E94-B007-6CFDC16BC498}" name="Input 7" dataDxfId="17"/>
    <tableColumn id="10" xr3:uid="{B7EF48C8-7637-4C77-B904-DC5DD80DFF04}" name="Input 8" dataDxfId="16"/>
    <tableColumn id="11" xr3:uid="{73DB186C-CC82-4A55-BC78-AB43DDCC26EF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topLeftCell="C1" zoomScale="113" workbookViewId="0">
      <selection sqref="A1:J14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8" t="s">
        <v>12</v>
      </c>
      <c r="B1" s="9" t="s">
        <v>13</v>
      </c>
      <c r="C1" s="9" t="s">
        <v>1</v>
      </c>
      <c r="D1" s="9" t="s">
        <v>14</v>
      </c>
      <c r="E1" s="9" t="s">
        <v>15</v>
      </c>
      <c r="F1" s="9" t="s">
        <v>0</v>
      </c>
      <c r="G1" s="9" t="s">
        <v>16</v>
      </c>
      <c r="H1" s="9" t="s">
        <v>17</v>
      </c>
      <c r="I1" s="9" t="s">
        <v>19</v>
      </c>
      <c r="J1" s="10"/>
    </row>
    <row r="2" spans="1:10" x14ac:dyDescent="0.25">
      <c r="A2" s="5"/>
      <c r="B2" s="3"/>
      <c r="C2" s="3"/>
      <c r="D2" s="3"/>
      <c r="E2" s="6"/>
      <c r="F2" s="3"/>
      <c r="G2" s="3"/>
      <c r="H2" s="3"/>
      <c r="I2" s="11"/>
      <c r="J2" s="3"/>
    </row>
    <row r="3" spans="1:10" x14ac:dyDescent="0.25">
      <c r="A3" s="12" t="s">
        <v>32</v>
      </c>
      <c r="B3" s="13" t="s">
        <v>13</v>
      </c>
      <c r="C3" s="13" t="s">
        <v>1</v>
      </c>
      <c r="D3" s="13" t="s">
        <v>15</v>
      </c>
      <c r="E3" s="13" t="s">
        <v>0</v>
      </c>
      <c r="F3" s="13" t="s">
        <v>16</v>
      </c>
      <c r="G3" s="13" t="s">
        <v>33</v>
      </c>
      <c r="H3" s="13" t="s">
        <v>19</v>
      </c>
      <c r="I3" s="13"/>
      <c r="J3" s="10"/>
    </row>
    <row r="4" spans="1:10" x14ac:dyDescent="0.25">
      <c r="A4" s="5"/>
      <c r="B4" s="3"/>
      <c r="C4" s="3"/>
      <c r="D4" s="3"/>
      <c r="E4" s="6"/>
      <c r="F4" s="3"/>
      <c r="G4" s="3"/>
      <c r="H4" s="3"/>
      <c r="I4" s="11"/>
      <c r="J4" s="3"/>
    </row>
    <row r="5" spans="1:10" x14ac:dyDescent="0.25">
      <c r="A5" s="12" t="s">
        <v>20</v>
      </c>
      <c r="B5" s="13" t="s">
        <v>1</v>
      </c>
      <c r="C5" s="13" t="s">
        <v>15</v>
      </c>
      <c r="D5" s="13" t="s">
        <v>21</v>
      </c>
      <c r="E5" s="13" t="s">
        <v>19</v>
      </c>
      <c r="F5" s="13"/>
      <c r="G5" s="13"/>
      <c r="H5" s="13"/>
      <c r="I5" s="13"/>
      <c r="J5" s="10"/>
    </row>
    <row r="6" spans="1:10" x14ac:dyDescent="0.25">
      <c r="A6" s="5"/>
      <c r="B6" s="3"/>
      <c r="C6" s="3"/>
      <c r="D6" s="3"/>
      <c r="E6" s="6"/>
      <c r="F6" s="3"/>
      <c r="G6" s="3"/>
      <c r="H6" s="3"/>
      <c r="I6" s="11"/>
      <c r="J6" s="3"/>
    </row>
    <row r="7" spans="1:10" s="16" customFormat="1" x14ac:dyDescent="0.25">
      <c r="A7" s="14" t="s">
        <v>22</v>
      </c>
      <c r="B7" s="15" t="s">
        <v>13</v>
      </c>
      <c r="C7" s="15" t="s">
        <v>1</v>
      </c>
      <c r="D7" s="15" t="s">
        <v>23</v>
      </c>
      <c r="E7" s="15" t="s">
        <v>24</v>
      </c>
      <c r="F7" s="15" t="s">
        <v>14</v>
      </c>
      <c r="G7" s="15" t="s">
        <v>25</v>
      </c>
      <c r="H7" s="15" t="s">
        <v>26</v>
      </c>
      <c r="I7" s="15" t="s">
        <v>27</v>
      </c>
      <c r="J7" s="15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16" customFormat="1" x14ac:dyDescent="0.25">
      <c r="A9" s="14" t="s">
        <v>28</v>
      </c>
      <c r="B9" s="15" t="s">
        <v>13</v>
      </c>
      <c r="C9" s="15" t="s">
        <v>1</v>
      </c>
      <c r="D9" s="15" t="s">
        <v>23</v>
      </c>
      <c r="E9" s="15" t="s">
        <v>24</v>
      </c>
      <c r="F9" s="15" t="s">
        <v>14</v>
      </c>
      <c r="G9" s="15" t="s">
        <v>25</v>
      </c>
      <c r="H9" s="15" t="s">
        <v>26</v>
      </c>
      <c r="I9" s="15" t="s">
        <v>27</v>
      </c>
      <c r="J9" s="15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16" customFormat="1" x14ac:dyDescent="0.25">
      <c r="A11" s="14" t="s">
        <v>29</v>
      </c>
      <c r="B11" s="15" t="s">
        <v>13</v>
      </c>
      <c r="C11" s="15" t="s">
        <v>1</v>
      </c>
      <c r="D11" s="15" t="s">
        <v>23</v>
      </c>
      <c r="E11" s="15" t="s">
        <v>24</v>
      </c>
      <c r="F11" s="15" t="s">
        <v>14</v>
      </c>
      <c r="G11" s="15" t="s">
        <v>25</v>
      </c>
      <c r="H11" s="15" t="s">
        <v>26</v>
      </c>
      <c r="I11" s="15" t="s">
        <v>27</v>
      </c>
      <c r="J11" s="15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16" customFormat="1" x14ac:dyDescent="0.25">
      <c r="A13" s="14" t="s">
        <v>31</v>
      </c>
      <c r="B13" s="15" t="s">
        <v>13</v>
      </c>
      <c r="C13" s="15" t="s">
        <v>1</v>
      </c>
      <c r="D13" s="15" t="s">
        <v>23</v>
      </c>
      <c r="E13" s="15" t="s">
        <v>24</v>
      </c>
      <c r="F13" s="15" t="s">
        <v>14</v>
      </c>
      <c r="G13" s="15" t="s">
        <v>25</v>
      </c>
      <c r="H13" s="15" t="s">
        <v>26</v>
      </c>
      <c r="I13" s="15" t="s">
        <v>27</v>
      </c>
      <c r="J13" s="15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36</v>
      </c>
      <c r="B15" s="1" t="s">
        <v>13</v>
      </c>
      <c r="C15" s="1" t="s">
        <v>37</v>
      </c>
      <c r="D15" s="1" t="s">
        <v>38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850B1-CE4E-F34D-96A8-C97A41B2509C}">
  <dimension ref="A1:K186"/>
  <sheetViews>
    <sheetView workbookViewId="0">
      <selection activeCell="E22" sqref="E22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7800</v>
      </c>
      <c r="E3" s="3" t="s">
        <v>18</v>
      </c>
      <c r="F3" s="6">
        <v>2.56</v>
      </c>
      <c r="G3" s="3">
        <v>0.03</v>
      </c>
      <c r="H3" s="26">
        <v>3.5000000000000003E-2</v>
      </c>
      <c r="I3" s="25">
        <v>8000</v>
      </c>
      <c r="J3" s="11" t="s">
        <v>40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7800</v>
      </c>
      <c r="E5" s="3">
        <v>2.88</v>
      </c>
      <c r="F5" s="27">
        <v>0.3</v>
      </c>
      <c r="G5" s="27">
        <v>3.5000000000000003E-2</v>
      </c>
      <c r="H5" s="25">
        <v>8000</v>
      </c>
      <c r="I5" s="3" t="s">
        <v>39</v>
      </c>
      <c r="J5" s="11"/>
      <c r="K5" s="3"/>
    </row>
    <row r="6" spans="1:11" x14ac:dyDescent="0.25">
      <c r="A6" s="20">
        <v>4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5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6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37000</v>
      </c>
      <c r="E11" s="3">
        <f>E9</f>
        <v>0.76</v>
      </c>
      <c r="F11" s="3">
        <v>1.5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7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4" priority="4">
      <formula>MOD(ROW(),2)=0</formula>
    </cfRule>
  </conditionalFormatting>
  <conditionalFormatting sqref="A1:K1">
    <cfRule type="expression" dxfId="3" priority="3">
      <formula>MOD(ROW(),2)=0</formula>
    </cfRule>
  </conditionalFormatting>
  <conditionalFormatting sqref="B14:F184 G14:K186">
    <cfRule type="expression" dxfId="2" priority="5">
      <formula>MOD(ROW(),2)=0</formula>
    </cfRule>
  </conditionalFormatting>
  <conditionalFormatting sqref="C2:K2 C3:G3 J3:K3 C4:K4 C5:E5 I5:K5">
    <cfRule type="expression" dxfId="1" priority="2">
      <formula>MOD(ROW(),2)=0</formula>
    </cfRule>
  </conditionalFormatting>
  <conditionalFormatting sqref="C6:K13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155B-479D-43E2-9562-C35913E178E8}">
  <dimension ref="A1:K186"/>
  <sheetViews>
    <sheetView zoomScale="113" workbookViewId="0">
      <selection activeCell="C32" sqref="C32"/>
    </sheetView>
  </sheetViews>
  <sheetFormatPr baseColWidth="10" defaultColWidth="10.83203125" defaultRowHeight="18" x14ac:dyDescent="0.25"/>
  <cols>
    <col min="1" max="1" width="15.33203125" style="2" bestFit="1" customWidth="1"/>
    <col min="2" max="2" width="19.1640625" style="2" bestFit="1" customWidth="1"/>
    <col min="3" max="3" width="16.1640625" style="2" bestFit="1" customWidth="1"/>
    <col min="4" max="4" width="11.6640625" style="2" bestFit="1" customWidth="1"/>
    <col min="5" max="5" width="18.6640625" style="2" bestFit="1" customWidth="1"/>
    <col min="6" max="6" width="13.6640625" style="2" bestFit="1" customWidth="1"/>
    <col min="7" max="7" width="13.5" style="2" bestFit="1" customWidth="1"/>
    <col min="8" max="8" width="21.1640625" style="2" bestFit="1" customWidth="1"/>
    <col min="9" max="9" width="20.6640625" style="2" bestFit="1" customWidth="1"/>
    <col min="10" max="10" width="19.6640625" style="2" bestFit="1" customWidth="1"/>
    <col min="11" max="11" width="15.33203125" style="2" bestFit="1" customWidth="1"/>
    <col min="12" max="16384" width="10.83203125" style="2"/>
  </cols>
  <sheetData>
    <row r="1" spans="1:11" ht="19" thickBot="1" x14ac:dyDescent="0.3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x14ac:dyDescent="0.25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x14ac:dyDescent="0.25">
      <c r="A3" s="5"/>
      <c r="B3" s="5"/>
      <c r="C3" s="3">
        <v>1</v>
      </c>
      <c r="D3" s="3">
        <v>0</v>
      </c>
      <c r="E3" s="3" t="s">
        <v>18</v>
      </c>
      <c r="F3" s="6">
        <v>2.56</v>
      </c>
      <c r="G3" s="3">
        <v>0.03</v>
      </c>
      <c r="H3" s="26">
        <v>3.5000000000000003E-2</v>
      </c>
      <c r="I3" s="25">
        <v>8500</v>
      </c>
      <c r="J3" s="11" t="s">
        <v>40</v>
      </c>
      <c r="K3" s="3"/>
    </row>
    <row r="4" spans="1:11" x14ac:dyDescent="0.25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x14ac:dyDescent="0.25">
      <c r="A5" s="5"/>
      <c r="B5" s="5"/>
      <c r="C5" s="3">
        <v>1</v>
      </c>
      <c r="D5" s="3">
        <v>0</v>
      </c>
      <c r="E5" s="3">
        <v>2.88</v>
      </c>
      <c r="F5" s="27">
        <v>0.3</v>
      </c>
      <c r="G5" s="27">
        <v>3.5000000000000003E-2</v>
      </c>
      <c r="H5" s="25">
        <v>4800</v>
      </c>
      <c r="I5" s="3" t="s">
        <v>39</v>
      </c>
      <c r="J5" s="11"/>
      <c r="K5" s="3"/>
    </row>
    <row r="6" spans="1:11" x14ac:dyDescent="0.25">
      <c r="A6" s="20">
        <v>4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x14ac:dyDescent="0.25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x14ac:dyDescent="0.25">
      <c r="A8" s="20">
        <v>5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x14ac:dyDescent="0.25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x14ac:dyDescent="0.25">
      <c r="A10" s="20">
        <v>6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x14ac:dyDescent="0.25">
      <c r="A11" s="4"/>
      <c r="B11" s="5"/>
      <c r="C11" s="3">
        <v>0.85199999999999998</v>
      </c>
      <c r="D11" s="3">
        <v>37000</v>
      </c>
      <c r="E11" s="3">
        <f>E9</f>
        <v>0.76</v>
      </c>
      <c r="F11" s="3">
        <v>1.5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x14ac:dyDescent="0.25">
      <c r="A12" s="20">
        <v>7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x14ac:dyDescent="0.25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x14ac:dyDescent="0.25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x14ac:dyDescent="0.25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x14ac:dyDescent="0.25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 x14ac:dyDescent="0.25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 x14ac:dyDescent="0.25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 x14ac:dyDescent="0.25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 x14ac:dyDescent="0.25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 x14ac:dyDescent="0.25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 x14ac:dyDescent="0.25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 x14ac:dyDescent="0.25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 x14ac:dyDescent="0.25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 x14ac:dyDescent="0.25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 x14ac:dyDescent="0.25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 x14ac:dyDescent="0.25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 x14ac:dyDescent="0.25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 x14ac:dyDescent="0.25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 x14ac:dyDescent="0.25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 x14ac:dyDescent="0.25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 x14ac:dyDescent="0.25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 x14ac:dyDescent="0.25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 x14ac:dyDescent="0.25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 x14ac:dyDescent="0.25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 x14ac:dyDescent="0.25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 x14ac:dyDescent="0.25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 x14ac:dyDescent="0.25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 x14ac:dyDescent="0.25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 x14ac:dyDescent="0.25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 x14ac:dyDescent="0.25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 x14ac:dyDescent="0.25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 x14ac:dyDescent="0.25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 x14ac:dyDescent="0.25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 x14ac:dyDescent="0.25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 x14ac:dyDescent="0.25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 x14ac:dyDescent="0.25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 x14ac:dyDescent="0.25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 x14ac:dyDescent="0.25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 x14ac:dyDescent="0.25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 x14ac:dyDescent="0.25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 x14ac:dyDescent="0.25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 x14ac:dyDescent="0.25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 x14ac:dyDescent="0.25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 x14ac:dyDescent="0.25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 x14ac:dyDescent="0.25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 x14ac:dyDescent="0.25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 x14ac:dyDescent="0.25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 x14ac:dyDescent="0.25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 x14ac:dyDescent="0.25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 x14ac:dyDescent="0.25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 x14ac:dyDescent="0.25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 x14ac:dyDescent="0.25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 x14ac:dyDescent="0.25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 x14ac:dyDescent="0.25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 x14ac:dyDescent="0.25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 x14ac:dyDescent="0.25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 x14ac:dyDescent="0.25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 x14ac:dyDescent="0.25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 x14ac:dyDescent="0.25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 x14ac:dyDescent="0.25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 x14ac:dyDescent="0.25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 x14ac:dyDescent="0.25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 x14ac:dyDescent="0.25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 x14ac:dyDescent="0.25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 x14ac:dyDescent="0.25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 x14ac:dyDescent="0.25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 x14ac:dyDescent="0.25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 x14ac:dyDescent="0.25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 x14ac:dyDescent="0.25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 x14ac:dyDescent="0.25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 x14ac:dyDescent="0.25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 x14ac:dyDescent="0.25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 x14ac:dyDescent="0.25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 x14ac:dyDescent="0.25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 x14ac:dyDescent="0.25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 x14ac:dyDescent="0.25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 x14ac:dyDescent="0.25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 x14ac:dyDescent="0.25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 x14ac:dyDescent="0.25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 x14ac:dyDescent="0.25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 x14ac:dyDescent="0.25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 x14ac:dyDescent="0.25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 x14ac:dyDescent="0.25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 x14ac:dyDescent="0.25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 x14ac:dyDescent="0.25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 x14ac:dyDescent="0.25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 x14ac:dyDescent="0.25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9" thickBot="1" x14ac:dyDescent="0.3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 x14ac:dyDescent="0.25">
      <c r="G185" s="3"/>
      <c r="H185" s="3"/>
      <c r="I185" s="11"/>
      <c r="J185" s="3"/>
      <c r="K185" s="17"/>
    </row>
    <row r="186" spans="1:11" ht="19" thickBot="1" x14ac:dyDescent="0.3">
      <c r="G186" s="21"/>
      <c r="H186" s="21"/>
      <c r="I186" s="22"/>
      <c r="J186" s="21"/>
      <c r="K186" s="23"/>
    </row>
  </sheetData>
  <conditionalFormatting sqref="A6:A1048576">
    <cfRule type="expression" dxfId="12" priority="12">
      <formula>MOD(ROW(),2)=0</formula>
    </cfRule>
  </conditionalFormatting>
  <conditionalFormatting sqref="A1:K1">
    <cfRule type="expression" dxfId="11" priority="9">
      <formula>MOD(ROW(),2)=0</formula>
    </cfRule>
  </conditionalFormatting>
  <conditionalFormatting sqref="B14:F184 G14:K186">
    <cfRule type="expression" dxfId="10" priority="17">
      <formula>MOD(ROW(),2)=0</formula>
    </cfRule>
  </conditionalFormatting>
  <conditionalFormatting sqref="C2:K2 C3:G3 J3:K3 C4:K4 C5:E5 I5:K5">
    <cfRule type="expression" dxfId="9" priority="8">
      <formula>MOD(ROW(),2)=0</formula>
    </cfRule>
  </conditionalFormatting>
  <conditionalFormatting sqref="C6:K13">
    <cfRule type="expression" dxfId="8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A3E4-F01C-435B-BD12-D6A7BD3774FE}">
  <dimension ref="A1:K198"/>
  <sheetViews>
    <sheetView tabSelected="1" zoomScale="117" workbookViewId="0">
      <selection activeCell="D7" sqref="D7"/>
    </sheetView>
  </sheetViews>
  <sheetFormatPr baseColWidth="10" defaultColWidth="8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29">
        <v>1</v>
      </c>
      <c r="B2" s="30" t="s">
        <v>12</v>
      </c>
      <c r="C2" s="30" t="s">
        <v>13</v>
      </c>
      <c r="D2" s="30" t="s">
        <v>1</v>
      </c>
      <c r="E2" s="30" t="s">
        <v>14</v>
      </c>
      <c r="F2" s="30" t="s">
        <v>15</v>
      </c>
      <c r="G2" s="30" t="s">
        <v>0</v>
      </c>
      <c r="H2" s="30" t="s">
        <v>16</v>
      </c>
      <c r="I2" s="30" t="s">
        <v>17</v>
      </c>
      <c r="J2" s="3" t="s">
        <v>19</v>
      </c>
      <c r="K2" s="31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2.56</v>
      </c>
      <c r="G3" s="3">
        <v>0.02</v>
      </c>
      <c r="H3" s="3">
        <v>3.5000000000000003E-2</v>
      </c>
      <c r="I3" s="32">
        <v>5500</v>
      </c>
      <c r="J3" s="3" t="s">
        <v>34</v>
      </c>
      <c r="K3" s="33"/>
    </row>
    <row r="4" spans="1:11" x14ac:dyDescent="0.25">
      <c r="A4" s="5">
        <v>2</v>
      </c>
      <c r="B4" s="1" t="s">
        <v>32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33</v>
      </c>
      <c r="I4" s="1" t="s">
        <v>19</v>
      </c>
      <c r="J4" s="3"/>
      <c r="K4" s="33"/>
    </row>
    <row r="5" spans="1:11" x14ac:dyDescent="0.25">
      <c r="A5" s="5"/>
      <c r="B5" s="3"/>
      <c r="C5" s="3">
        <v>1</v>
      </c>
      <c r="D5" s="3">
        <v>0</v>
      </c>
      <c r="E5" s="6">
        <v>2.88</v>
      </c>
      <c r="F5" s="3">
        <v>0.5</v>
      </c>
      <c r="G5" s="3">
        <v>3.5000000000000003E-2</v>
      </c>
      <c r="H5" s="3">
        <v>4650</v>
      </c>
      <c r="I5" s="32" t="s">
        <v>35</v>
      </c>
      <c r="J5" s="3"/>
      <c r="K5" s="33"/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34" t="s">
        <v>27</v>
      </c>
      <c r="K6" s="33" t="s">
        <v>19</v>
      </c>
    </row>
    <row r="7" spans="1:11" x14ac:dyDescent="0.25">
      <c r="A7" s="5"/>
      <c r="B7" s="3"/>
      <c r="C7" s="3">
        <v>0.85199999999999998</v>
      </c>
      <c r="D7" s="3">
        <v>39000</v>
      </c>
      <c r="E7" s="3">
        <v>0.77</v>
      </c>
      <c r="F7" s="3">
        <v>1</v>
      </c>
      <c r="G7" s="3" t="s">
        <v>18</v>
      </c>
      <c r="H7" s="3">
        <v>0</v>
      </c>
      <c r="I7" s="32">
        <v>0</v>
      </c>
      <c r="J7" s="3">
        <v>0</v>
      </c>
      <c r="K7" s="33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34" t="s">
        <v>27</v>
      </c>
      <c r="K8" s="35" t="s">
        <v>19</v>
      </c>
    </row>
    <row r="9" spans="1:11" x14ac:dyDescent="0.25">
      <c r="A9" s="5"/>
      <c r="B9" s="3"/>
      <c r="C9" s="3">
        <v>0.85199999999999998</v>
      </c>
      <c r="D9" s="3">
        <v>37000</v>
      </c>
      <c r="E9" s="3">
        <v>0.77</v>
      </c>
      <c r="F9" s="3">
        <v>1</v>
      </c>
      <c r="G9" s="3" t="s">
        <v>18</v>
      </c>
      <c r="H9" s="3">
        <v>1.67</v>
      </c>
      <c r="I9" s="32">
        <v>0</v>
      </c>
      <c r="J9" s="3">
        <v>0</v>
      </c>
      <c r="K9" s="33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34" t="s">
        <v>27</v>
      </c>
      <c r="K10" s="35" t="s">
        <v>19</v>
      </c>
    </row>
    <row r="11" spans="1:11" x14ac:dyDescent="0.25">
      <c r="A11" s="5"/>
      <c r="B11" s="3"/>
      <c r="C11" s="3">
        <v>0.85199999999999998</v>
      </c>
      <c r="D11" s="3">
        <v>20000</v>
      </c>
      <c r="E11" s="3">
        <v>0.77</v>
      </c>
      <c r="F11" s="3">
        <v>1.5</v>
      </c>
      <c r="G11" s="3" t="s">
        <v>18</v>
      </c>
      <c r="H11" s="3">
        <v>0</v>
      </c>
      <c r="I11" s="32">
        <v>0</v>
      </c>
      <c r="J11" s="3">
        <v>0</v>
      </c>
      <c r="K11" s="33" t="s">
        <v>29</v>
      </c>
    </row>
    <row r="12" spans="1:11" x14ac:dyDescent="0.25">
      <c r="A12" s="5">
        <v>7</v>
      </c>
      <c r="B12" s="36" t="s">
        <v>31</v>
      </c>
      <c r="C12" s="36" t="s">
        <v>13</v>
      </c>
      <c r="D12" s="1" t="s">
        <v>1</v>
      </c>
      <c r="E12" s="36" t="s">
        <v>23</v>
      </c>
      <c r="F12" s="36" t="s">
        <v>24</v>
      </c>
      <c r="G12" s="36" t="s">
        <v>14</v>
      </c>
      <c r="H12" s="36" t="s">
        <v>25</v>
      </c>
      <c r="I12" s="36" t="s">
        <v>26</v>
      </c>
      <c r="J12" s="37" t="s">
        <v>27</v>
      </c>
      <c r="K12" s="38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</v>
      </c>
      <c r="G13" s="3" t="s">
        <v>18</v>
      </c>
      <c r="H13" s="3">
        <v>0</v>
      </c>
      <c r="I13" s="32">
        <v>0</v>
      </c>
      <c r="J13" s="3">
        <v>0</v>
      </c>
      <c r="K13" s="33" t="s">
        <v>31</v>
      </c>
    </row>
    <row r="14" spans="1:11" x14ac:dyDescent="0.25">
      <c r="A14" s="5"/>
      <c r="B14" s="3"/>
      <c r="C14" s="3"/>
      <c r="D14" s="3"/>
      <c r="E14" s="3"/>
      <c r="F14" s="3"/>
      <c r="G14" s="3"/>
      <c r="H14" s="3"/>
      <c r="I14" s="32"/>
      <c r="J14" s="3"/>
      <c r="K14" s="33"/>
    </row>
    <row r="15" spans="1:11" x14ac:dyDescent="0.25">
      <c r="A15" s="5"/>
      <c r="B15" s="3"/>
      <c r="C15" s="3"/>
      <c r="D15" s="3"/>
      <c r="E15" s="3"/>
      <c r="F15" s="3"/>
      <c r="G15" s="3"/>
      <c r="H15" s="3"/>
      <c r="I15" s="32"/>
      <c r="J15" s="3"/>
      <c r="K15" s="33"/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32"/>
      <c r="J16" s="3"/>
      <c r="K16" s="33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32"/>
      <c r="J17" s="3"/>
      <c r="K17" s="33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32"/>
      <c r="J18" s="3"/>
      <c r="K18" s="33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32"/>
      <c r="J19" s="3"/>
      <c r="K19" s="33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32"/>
      <c r="J20" s="3"/>
      <c r="K20" s="33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32"/>
      <c r="J21" s="3"/>
      <c r="K21" s="33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32"/>
      <c r="J22" s="3"/>
      <c r="K22" s="33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32"/>
      <c r="J23" s="3"/>
      <c r="K23" s="33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32"/>
      <c r="J24" s="3"/>
      <c r="K24" s="33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32"/>
      <c r="J25" s="3"/>
      <c r="K25" s="33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32"/>
      <c r="J26" s="3"/>
      <c r="K26" s="33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32"/>
      <c r="J27" s="3"/>
      <c r="K27" s="33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32"/>
      <c r="J28" s="3"/>
      <c r="K28" s="33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32"/>
      <c r="J29" s="3"/>
      <c r="K29" s="33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32"/>
      <c r="J30" s="3"/>
      <c r="K30" s="33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32"/>
      <c r="J31" s="3"/>
      <c r="K31" s="33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32"/>
      <c r="J32" s="3"/>
      <c r="K32" s="33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32"/>
      <c r="J33" s="3"/>
      <c r="K33" s="33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32"/>
      <c r="J34" s="3"/>
      <c r="K34" s="33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32"/>
      <c r="J35" s="3"/>
      <c r="K35" s="33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32"/>
      <c r="J36" s="3"/>
      <c r="K36" s="33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32"/>
      <c r="J37" s="3"/>
      <c r="K37" s="33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32"/>
      <c r="J38" s="3"/>
      <c r="K38" s="33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32"/>
      <c r="J39" s="3"/>
      <c r="K39" s="33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32"/>
      <c r="J40" s="3"/>
      <c r="K40" s="33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32"/>
      <c r="J41" s="3"/>
      <c r="K41" s="33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32"/>
      <c r="J42" s="3"/>
      <c r="K42" s="33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32"/>
      <c r="J43" s="3"/>
      <c r="K43" s="33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32"/>
      <c r="J44" s="3"/>
      <c r="K44" s="33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32"/>
      <c r="J45" s="3"/>
      <c r="K45" s="33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32"/>
      <c r="J46" s="3"/>
      <c r="K46" s="33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32"/>
      <c r="J47" s="3"/>
      <c r="K47" s="33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32"/>
      <c r="J48" s="3"/>
      <c r="K48" s="33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32"/>
      <c r="J49" s="3"/>
      <c r="K49" s="33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32"/>
      <c r="J50" s="3"/>
      <c r="K50" s="33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32"/>
      <c r="J51" s="3"/>
      <c r="K51" s="33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32"/>
      <c r="J52" s="3"/>
      <c r="K52" s="33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32"/>
      <c r="J53" s="3"/>
      <c r="K53" s="33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32"/>
      <c r="J54" s="3"/>
      <c r="K54" s="33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32"/>
      <c r="J55" s="3"/>
      <c r="K55" s="33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32"/>
      <c r="J56" s="3"/>
      <c r="K56" s="33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32"/>
      <c r="J57" s="3"/>
      <c r="K57" s="33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32"/>
      <c r="J58" s="3"/>
      <c r="K58" s="33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32"/>
      <c r="J59" s="3"/>
      <c r="K59" s="33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32"/>
      <c r="J60" s="3"/>
      <c r="K60" s="33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32"/>
      <c r="J61" s="3"/>
      <c r="K61" s="33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32"/>
      <c r="J62" s="3"/>
      <c r="K62" s="33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32"/>
      <c r="J63" s="3"/>
      <c r="K63" s="33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32"/>
      <c r="J64" s="3"/>
      <c r="K64" s="33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32"/>
      <c r="J65" s="3"/>
      <c r="K65" s="33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32"/>
      <c r="J66" s="3"/>
      <c r="K66" s="33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32"/>
      <c r="J67" s="3"/>
      <c r="K67" s="33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32"/>
      <c r="J68" s="3"/>
      <c r="K68" s="33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32"/>
      <c r="J69" s="3"/>
      <c r="K69" s="33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32"/>
      <c r="J70" s="3"/>
      <c r="K70" s="33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32"/>
      <c r="J71" s="3"/>
      <c r="K71" s="33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32"/>
      <c r="J72" s="3"/>
      <c r="K72" s="33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32"/>
      <c r="J73" s="3"/>
      <c r="K73" s="33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32"/>
      <c r="J74" s="3"/>
      <c r="K74" s="33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32"/>
      <c r="J75" s="3"/>
      <c r="K75" s="33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32"/>
      <c r="J76" s="3"/>
      <c r="K76" s="33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32"/>
      <c r="J77" s="3"/>
      <c r="K77" s="33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32"/>
      <c r="J78" s="3"/>
      <c r="K78" s="33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32"/>
      <c r="J79" s="3"/>
      <c r="K79" s="33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32"/>
      <c r="J80" s="3"/>
      <c r="K80" s="33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32"/>
      <c r="J81" s="3"/>
      <c r="K81" s="33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32"/>
      <c r="J82" s="3"/>
      <c r="K82" s="33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32"/>
      <c r="J83" s="3"/>
      <c r="K83" s="33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32"/>
      <c r="J84" s="3"/>
      <c r="K84" s="33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32"/>
      <c r="J85" s="3"/>
      <c r="K85" s="33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32"/>
      <c r="J86" s="3"/>
      <c r="K86" s="33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32"/>
      <c r="J87" s="3"/>
      <c r="K87" s="33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32"/>
      <c r="J88" s="3"/>
      <c r="K88" s="33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32"/>
      <c r="J89" s="3"/>
      <c r="K89" s="33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32"/>
      <c r="J90" s="3"/>
      <c r="K90" s="33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32"/>
      <c r="J91" s="3"/>
      <c r="K91" s="33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32"/>
      <c r="J92" s="3"/>
      <c r="K92" s="33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32"/>
      <c r="J93" s="3"/>
      <c r="K93" s="33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32"/>
      <c r="J94" s="3"/>
      <c r="K94" s="33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32"/>
      <c r="J95" s="3"/>
      <c r="K95" s="33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32"/>
      <c r="J96" s="3"/>
      <c r="K96" s="33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32"/>
      <c r="J97" s="3"/>
      <c r="K97" s="33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32"/>
      <c r="J98" s="3"/>
      <c r="K98" s="33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32"/>
      <c r="J99" s="3"/>
      <c r="K99" s="33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32"/>
      <c r="J100" s="3"/>
      <c r="K100" s="33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32"/>
      <c r="J101" s="3"/>
      <c r="K101" s="33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32"/>
      <c r="J102" s="3"/>
      <c r="K102" s="33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32"/>
      <c r="J103" s="3"/>
      <c r="K103" s="33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32"/>
      <c r="J104" s="3"/>
      <c r="K104" s="33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32"/>
      <c r="J105" s="3"/>
      <c r="K105" s="33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32"/>
      <c r="J106" s="3"/>
      <c r="K106" s="33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32"/>
      <c r="J107" s="3"/>
      <c r="K107" s="33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32"/>
      <c r="J108" s="3"/>
      <c r="K108" s="33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32"/>
      <c r="J109" s="3"/>
      <c r="K109" s="33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32"/>
      <c r="J110" s="3"/>
      <c r="K110" s="33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32"/>
      <c r="J111" s="3"/>
      <c r="K111" s="33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32"/>
      <c r="J112" s="3"/>
      <c r="K112" s="33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32"/>
      <c r="J113" s="3"/>
      <c r="K113" s="33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32"/>
      <c r="J114" s="3"/>
      <c r="K114" s="33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32"/>
      <c r="J115" s="3"/>
      <c r="K115" s="33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32"/>
      <c r="J116" s="3"/>
      <c r="K116" s="33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32"/>
      <c r="J117" s="3"/>
      <c r="K117" s="33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32"/>
      <c r="J118" s="3"/>
      <c r="K118" s="33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32"/>
      <c r="J119" s="3"/>
      <c r="K119" s="33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32"/>
      <c r="J120" s="3"/>
      <c r="K120" s="33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32"/>
      <c r="J121" s="3"/>
      <c r="K121" s="33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32"/>
      <c r="J122" s="3"/>
      <c r="K122" s="33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32"/>
      <c r="J123" s="3"/>
      <c r="K123" s="33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32"/>
      <c r="J124" s="3"/>
      <c r="K124" s="33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32"/>
      <c r="J125" s="3"/>
      <c r="K125" s="33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32"/>
      <c r="J126" s="3"/>
      <c r="K126" s="33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32"/>
      <c r="J127" s="3"/>
      <c r="K127" s="33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32"/>
      <c r="J128" s="3"/>
      <c r="K128" s="33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32"/>
      <c r="J129" s="3"/>
      <c r="K129" s="33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32"/>
      <c r="J130" s="3"/>
      <c r="K130" s="33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32"/>
      <c r="J131" s="3"/>
      <c r="K131" s="33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32"/>
      <c r="J132" s="3"/>
      <c r="K132" s="33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32"/>
      <c r="J133" s="3"/>
      <c r="K133" s="33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32"/>
      <c r="J134" s="3"/>
      <c r="K134" s="33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32"/>
      <c r="J135" s="3"/>
      <c r="K135" s="33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32"/>
      <c r="J136" s="3"/>
      <c r="K136" s="33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32"/>
      <c r="J137" s="3"/>
      <c r="K137" s="33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32"/>
      <c r="J138" s="3"/>
      <c r="K138" s="33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32"/>
      <c r="J139" s="3"/>
      <c r="K139" s="33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32"/>
      <c r="J140" s="3"/>
      <c r="K140" s="33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32"/>
      <c r="J141" s="3"/>
      <c r="K141" s="33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32"/>
      <c r="J142" s="3"/>
      <c r="K142" s="33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32"/>
      <c r="J143" s="3"/>
      <c r="K143" s="33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32"/>
      <c r="J144" s="3"/>
      <c r="K144" s="33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32"/>
      <c r="J145" s="3"/>
      <c r="K145" s="33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32"/>
      <c r="J146" s="3"/>
      <c r="K146" s="33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32"/>
      <c r="J147" s="3"/>
      <c r="K147" s="33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32"/>
      <c r="J148" s="3"/>
      <c r="K148" s="33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32"/>
      <c r="J149" s="3"/>
      <c r="K149" s="33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32"/>
      <c r="J150" s="3"/>
      <c r="K150" s="33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32"/>
      <c r="J151" s="3"/>
      <c r="K151" s="33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32"/>
      <c r="J152" s="3"/>
      <c r="K152" s="33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32"/>
      <c r="J153" s="3"/>
      <c r="K153" s="33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32"/>
      <c r="J154" s="3"/>
      <c r="K154" s="33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32"/>
      <c r="J155" s="3"/>
      <c r="K155" s="33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32"/>
      <c r="J156" s="3"/>
      <c r="K156" s="33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32"/>
      <c r="J157" s="3"/>
      <c r="K157" s="33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32"/>
      <c r="J158" s="3"/>
      <c r="K158" s="33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32"/>
      <c r="J159" s="3"/>
      <c r="K159" s="33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32"/>
      <c r="J160" s="3"/>
      <c r="K160" s="33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32"/>
      <c r="J161" s="3"/>
      <c r="K161" s="33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32"/>
      <c r="J162" s="3"/>
      <c r="K162" s="33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32"/>
      <c r="J163" s="3"/>
      <c r="K163" s="33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32"/>
      <c r="J164" s="3"/>
      <c r="K164" s="33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32"/>
      <c r="J165" s="3"/>
      <c r="K165" s="33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32"/>
      <c r="J166" s="3"/>
      <c r="K166" s="33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32"/>
      <c r="J167" s="3"/>
      <c r="K167" s="33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32"/>
      <c r="J168" s="3"/>
      <c r="K168" s="33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32"/>
      <c r="J169" s="3"/>
      <c r="K169" s="33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32"/>
      <c r="J170" s="3"/>
      <c r="K170" s="33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32"/>
      <c r="J171" s="3"/>
      <c r="K171" s="33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32"/>
      <c r="J172" s="3"/>
      <c r="K172" s="33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32"/>
      <c r="J173" s="3"/>
      <c r="K173" s="33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32"/>
      <c r="J174" s="3"/>
      <c r="K174" s="33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32"/>
      <c r="J175" s="3"/>
      <c r="K175" s="33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32"/>
      <c r="J176" s="3"/>
      <c r="K176" s="33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32"/>
      <c r="J177" s="3"/>
      <c r="K177" s="33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32"/>
      <c r="J178" s="3"/>
      <c r="K178" s="33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32"/>
      <c r="J179" s="3"/>
      <c r="K179" s="33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32"/>
      <c r="J180" s="3"/>
      <c r="K180" s="33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32"/>
      <c r="J181" s="3"/>
      <c r="K181" s="33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32"/>
      <c r="J182" s="3"/>
      <c r="K182" s="33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32"/>
      <c r="J183" s="3"/>
      <c r="K183" s="33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32"/>
      <c r="J184" s="3"/>
      <c r="K184" s="33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32"/>
      <c r="J185" s="3"/>
      <c r="K185" s="33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32"/>
      <c r="J186" s="3"/>
      <c r="K186" s="33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32"/>
      <c r="J187" s="3"/>
      <c r="K187" s="33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32"/>
      <c r="J188" s="3"/>
      <c r="K188" s="33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32"/>
      <c r="J189" s="3"/>
      <c r="K189" s="33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32"/>
      <c r="J190" s="3"/>
      <c r="K190" s="33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32"/>
      <c r="J191" s="3"/>
      <c r="K191" s="33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32"/>
      <c r="J192" s="3"/>
      <c r="K192" s="33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32"/>
      <c r="J193" s="3"/>
      <c r="K193" s="33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32"/>
      <c r="J194" s="3"/>
      <c r="K194" s="33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32"/>
      <c r="J195" s="3"/>
      <c r="K195" s="33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32"/>
      <c r="J196" s="3"/>
      <c r="K196" s="33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32"/>
      <c r="J197" s="3"/>
      <c r="K197" s="33"/>
    </row>
    <row r="198" spans="1:11" ht="19" thickBot="1" x14ac:dyDescent="0.3">
      <c r="A198" s="7"/>
      <c r="B198" s="39"/>
      <c r="C198" s="39"/>
      <c r="D198" s="39"/>
      <c r="E198" s="39"/>
      <c r="F198" s="39"/>
      <c r="G198" s="39"/>
      <c r="H198" s="39"/>
      <c r="I198" s="40"/>
      <c r="J198" s="3"/>
      <c r="K198" s="41"/>
    </row>
  </sheetData>
  <conditionalFormatting sqref="A1:B1 D1:K1 B2:K4 C5:K5 F13:K19 B14:E19 A20:K1048576 B6:K11">
    <cfRule type="expression" dxfId="7" priority="3">
      <formula>MOD(ROW(),2)=0</formula>
    </cfRule>
  </conditionalFormatting>
  <conditionalFormatting sqref="B5">
    <cfRule type="expression" dxfId="6" priority="2">
      <formula>MOD(ROW(),2)=0</formula>
    </cfRule>
  </conditionalFormatting>
  <conditionalFormatting sqref="D12">
    <cfRule type="expression" dxfId="5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Sheet1</vt:lpstr>
      <vt:lpstr>MD80</vt:lpstr>
      <vt:lpstr>B717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Tyler Brining</cp:lastModifiedBy>
  <dcterms:created xsi:type="dcterms:W3CDTF">2024-11-07T17:59:15Z</dcterms:created>
  <dcterms:modified xsi:type="dcterms:W3CDTF">2026-09-11T16:18:11Z</dcterms:modified>
</cp:coreProperties>
</file>