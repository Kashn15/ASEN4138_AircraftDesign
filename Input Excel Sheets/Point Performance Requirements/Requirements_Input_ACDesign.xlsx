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ty/Documents/MATLAB/AircraftDesignToolbox-Feb23/MAIN/Input Excel Sheets/Point Performance Requirements/"/>
    </mc:Choice>
  </mc:AlternateContent>
  <xr:revisionPtr revIDLastSave="0" documentId="13_ncr:1_{DC38B710-F1FC-2D4F-B096-1C887F1EBDF1}" xr6:coauthVersionLast="47" xr6:coauthVersionMax="47" xr10:uidLastSave="{00000000-0000-0000-0000-000000000000}"/>
  <bookViews>
    <workbookView xWindow="0" yWindow="660" windowWidth="30240" windowHeight="18980" activeTab="1" xr2:uid="{AC12A90C-16A5-0547-A6DB-57534C200D25}"/>
  </bookViews>
  <sheets>
    <sheet name="Templates" sheetId="2" r:id="rId1"/>
    <sheet name="BuffAir" sheetId="12" r:id="rId2"/>
    <sheet name="MD80" sheetId="9" r:id="rId3"/>
    <sheet name="B717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2" l="1"/>
  <c r="G11" i="12"/>
  <c r="G9" i="12"/>
  <c r="E9" i="12"/>
  <c r="E11" i="12" s="1"/>
  <c r="E13" i="12" s="1"/>
  <c r="G7" i="12"/>
  <c r="E9" i="9"/>
  <c r="E11" i="9" s="1"/>
  <c r="E13" i="9" s="1"/>
  <c r="G13" i="9"/>
  <c r="G11" i="9"/>
  <c r="G9" i="9"/>
  <c r="G7" i="9"/>
</calcChain>
</file>

<file path=xl/sharedStrings.xml><?xml version="1.0" encoding="utf-8"?>
<sst xmlns="http://schemas.openxmlformats.org/spreadsheetml/2006/main" count="295" uniqueCount="41">
  <si>
    <t>Coef Friction</t>
  </si>
  <si>
    <t>Altitude [ft]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</si>
  <si>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</si>
  <si>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</si>
  <si>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</si>
  <si>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</si>
  <si>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</si>
  <si>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</si>
  <si>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</si>
  <si>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</si>
  <si>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Requirement #</t>
  </si>
  <si>
    <t>Requirement Type</t>
  </si>
  <si>
    <t>Takeoff Distance</t>
  </si>
  <si>
    <t>Beta</t>
  </si>
  <si>
    <t>Throttle</t>
  </si>
  <si>
    <t>CL Max</t>
  </si>
  <si>
    <t>CDx</t>
  </si>
  <si>
    <t>Takeoff Distance [ft]</t>
  </si>
  <si>
    <t>MIL</t>
  </si>
  <si>
    <t>Label</t>
  </si>
  <si>
    <t>Stall Velocity</t>
  </si>
  <si>
    <t>Stall Velocity [kts]</t>
  </si>
  <si>
    <t>Absolute Ceiling</t>
  </si>
  <si>
    <t xml:space="preserve">Mach </t>
  </si>
  <si>
    <t>n</t>
  </si>
  <si>
    <t>Rate of Climb [ft/s]</t>
  </si>
  <si>
    <t>Acceleration [ft/s^2]</t>
  </si>
  <si>
    <t>Cdx</t>
  </si>
  <si>
    <t>Service Ceiling</t>
  </si>
  <si>
    <t>Sustained Turn</t>
  </si>
  <si>
    <t>Input 9</t>
  </si>
  <si>
    <t>Max Mach</t>
  </si>
  <si>
    <t>Landing Distance</t>
  </si>
  <si>
    <t>Landing Distance [ft]</t>
  </si>
  <si>
    <t xml:space="preserve">Takeoff </t>
  </si>
  <si>
    <t xml:space="preserve">Landing </t>
  </si>
  <si>
    <t>VTOL</t>
  </si>
  <si>
    <t>Altitude[ft]</t>
  </si>
  <si>
    <t>V_Climb [ft/s]</t>
  </si>
  <si>
    <t>Landing</t>
  </si>
  <si>
    <t>Takeoff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</si>
</sst>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rgb="FF000000"/>
      <name val="Arial Unicode MS"/>
      <family val="2"/>
    </font>
    <font>
      <b/>
      <sz val="12"/>
      <color theme="1"/>
      <name val="Arial Unicode MS"/>
      <family val="2"/>
    </font>
    <font>
      <b/>
      <sz val="12"/>
      <color theme="0"/>
      <name val="Arial Unicode MS"/>
      <family val="2"/>
    </font>
    <font>
      <sz val="12"/>
      <color theme="1"/>
      <name val="Apto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rgb="FF000000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2" fillId="0" borderId="1" xfId="0" quotePrefix="1" applyFont="1" applyBorder="1"/>
    <xf numFmtId="0" fontId="2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2" fillId="2" borderId="1" xfId="0" applyFont="1" applyFill="1" applyBorder="1"/>
    <xf numFmtId="0" fontId="2" fillId="0" borderId="7" xfId="0" applyFont="1" applyBorder="1"/>
    <xf numFmtId="0" fontId="1" fillId="2" borderId="2" xfId="0" applyFont="1" applyFill="1" applyBorder="1"/>
    <xf numFmtId="0" fontId="1" fillId="2" borderId="6" xfId="0" applyFont="1" applyFill="1" applyBorder="1"/>
    <xf numFmtId="0" fontId="4" fillId="2" borderId="2" xfId="0" applyFont="1" applyFill="1" applyBorder="1"/>
    <xf numFmtId="0" fontId="4" fillId="2" borderId="1" xfId="0" applyFont="1" applyFill="1" applyBorder="1"/>
    <xf numFmtId="0" fontId="4" fillId="0" borderId="0" xfId="0" applyFont="1"/>
    <xf numFmtId="0" fontId="2" fillId="0" borderId="9" xfId="0" applyFont="1" applyBorder="1"/>
    <xf numFmtId="0" fontId="2" fillId="2" borderId="7" xfId="0" applyFont="1" applyFill="1" applyBorder="1"/>
    <xf numFmtId="0" fontId="2" fillId="2" borderId="9" xfId="0" applyFont="1" applyFill="1" applyBorder="1"/>
    <xf numFmtId="0" fontId="2" fillId="2" borderId="2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5" fillId="3" borderId="8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2" borderId="1" xfId="0" applyFont="1" applyFill="1" applyBorder="1"/>
    <xf numFmtId="0" fontId="1" fillId="0" borderId="4" xfId="0" applyFont="1" applyBorder="1"/>
    <xf numFmtId="0" fontId="1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3" fillId="0" borderId="0" xfId="0" applyFont="1"/>
    <xf numFmtId="0" fontId="3" fillId="0" borderId="17" xfId="0" applyFont="1" applyBorder="1"/>
    <xf numFmtId="0" fontId="3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</cellXfs>
  <cellStyles count="1">
    <cellStyle name="Normal" xfId="0" builtinId="0"/>
  </cellStyles>
  <dxfs count="29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C58F64-F3A1-4898-83A5-3F57B6095FCC}" name="Table3236" displayName="Table3236" ref="A1:K198" totalsRowShown="0" headerRowDxfId="28" dataDxfId="27" tableBorderDxfId="26">
  <autoFilter ref="A1:K198" xr:uid="{90C58F64-F3A1-4898-83A5-3F57B6095FCC}"/>
  <tableColumns count="11">
    <tableColumn id="1" xr3:uid="{7DFADB5A-8F64-4660-904D-87CF721F0D3A}" name="Requirement #" dataDxfId="25"/>
    <tableColumn id="2" xr3:uid="{B1A68BAB-1F7B-4EBE-88C7-192625495DBD}" name="Requirement Type" dataDxfId="24"/>
    <tableColumn id="3" xr3:uid="{E7044708-4BB9-454C-A1D6-6E4DE150D52B}" name="Input 1" dataDxfId="23"/>
    <tableColumn id="4" xr3:uid="{426C3826-355B-4B3D-B1F6-999DA7E36090}" name="Input 2" dataDxfId="22"/>
    <tableColumn id="5" xr3:uid="{97F7A777-FB06-403D-AFA0-856F0E459229}" name="Input 3" dataDxfId="21"/>
    <tableColumn id="6" xr3:uid="{08FCBA34-BDA0-44E9-87D6-5F239A0BA8AD}" name="Input 4" dataDxfId="20"/>
    <tableColumn id="7" xr3:uid="{9FF0D62B-7510-4E2F-A3F6-E4C55B3B8B78}" name="Input 5" dataDxfId="19"/>
    <tableColumn id="8" xr3:uid="{915D5782-D559-4691-B6C3-205363F92141}" name="Input 6" dataDxfId="18"/>
    <tableColumn id="9" xr3:uid="{BD0837DA-7473-4E94-B007-6CFDC16BC498}" name="Input 7" dataDxfId="17"/>
    <tableColumn id="10" xr3:uid="{B7EF48C8-7637-4C77-B904-DC5DD80DFF04}" name="Input 8" dataDxfId="16"/>
    <tableColumn id="11" xr3:uid="{73DB186C-CC82-4A55-BC78-AB43DDCC26EF}" name="Input 9" dataDxfId="15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J22"/>
  <sheetViews>
    <sheetView topLeftCell="C1" zoomScale="113" workbookViewId="0">
      <selection sqref="A1:J14"/>
    </sheetView>
  </sheetViews>
  <sheetFormatPr baseColWidth="10" defaultColWidth="10.83203125" defaultRowHeight="18" x14ac:dyDescent="0.25"/>
  <cols>
    <col min="1" max="4" width="20.83203125" style="2" customWidth="1"/>
    <col min="5" max="6" width="13.5" style="2" bestFit="1" customWidth="1"/>
    <col min="7" max="7" width="20.83203125" style="2" customWidth="1"/>
    <col min="8" max="8" width="21.1640625" style="2" bestFit="1" customWidth="1"/>
    <col min="9" max="9" width="20.6640625" style="2" bestFit="1" customWidth="1"/>
    <col min="10" max="16384" width="10.83203125" style="2"/>
  </cols>
  <sheetData>
    <row r="1" spans="1:10" x14ac:dyDescent="0.25">
      <c r="A1" s="8" t="s">
        <v>12</v>
      </c>
      <c r="B1" s="9" t="s">
        <v>13</v>
      </c>
      <c r="C1" s="9" t="s">
        <v>1</v>
      </c>
      <c r="D1" s="9" t="s">
        <v>14</v>
      </c>
      <c r="E1" s="9" t="s">
        <v>15</v>
      </c>
      <c r="F1" s="9" t="s">
        <v>0</v>
      </c>
      <c r="G1" s="9" t="s">
        <v>16</v>
      </c>
      <c r="H1" s="9" t="s">
        <v>17</v>
      </c>
      <c r="I1" s="9" t="s">
        <v>19</v>
      </c>
      <c r="J1" s="10"/>
    </row>
    <row r="2" spans="1:10" x14ac:dyDescent="0.25">
      <c r="A2" s="5"/>
      <c r="B2" s="3"/>
      <c r="C2" s="3"/>
      <c r="D2" s="3"/>
      <c r="E2" s="6"/>
      <c r="F2" s="3"/>
      <c r="G2" s="3"/>
      <c r="H2" s="3"/>
      <c r="I2" s="11"/>
      <c r="J2" s="3"/>
    </row>
    <row r="3" spans="1:10" x14ac:dyDescent="0.25">
      <c r="A3" s="12" t="s">
        <v>32</v>
      </c>
      <c r="B3" s="13" t="s">
        <v>13</v>
      </c>
      <c r="C3" s="13" t="s">
        <v>1</v>
      </c>
      <c r="D3" s="13" t="s">
        <v>15</v>
      </c>
      <c r="E3" s="13" t="s">
        <v>0</v>
      </c>
      <c r="F3" s="13" t="s">
        <v>16</v>
      </c>
      <c r="G3" s="13" t="s">
        <v>33</v>
      </c>
      <c r="H3" s="13" t="s">
        <v>19</v>
      </c>
      <c r="I3" s="13"/>
      <c r="J3" s="10"/>
    </row>
    <row r="4" spans="1:10" x14ac:dyDescent="0.25">
      <c r="A4" s="5"/>
      <c r="B4" s="3"/>
      <c r="C4" s="3"/>
      <c r="D4" s="3"/>
      <c r="E4" s="6"/>
      <c r="F4" s="3"/>
      <c r="G4" s="3"/>
      <c r="H4" s="3"/>
      <c r="I4" s="11"/>
      <c r="J4" s="3"/>
    </row>
    <row r="5" spans="1:10" x14ac:dyDescent="0.25">
      <c r="A5" s="12" t="s">
        <v>20</v>
      </c>
      <c r="B5" s="13" t="s">
        <v>1</v>
      </c>
      <c r="C5" s="13" t="s">
        <v>15</v>
      </c>
      <c r="D5" s="13" t="s">
        <v>21</v>
      </c>
      <c r="E5" s="13" t="s">
        <v>19</v>
      </c>
      <c r="F5" s="13"/>
      <c r="G5" s="13"/>
      <c r="H5" s="13"/>
      <c r="I5" s="13"/>
      <c r="J5" s="10"/>
    </row>
    <row r="6" spans="1:10" x14ac:dyDescent="0.25">
      <c r="A6" s="5"/>
      <c r="B6" s="3"/>
      <c r="C6" s="3"/>
      <c r="D6" s="3"/>
      <c r="E6" s="6"/>
      <c r="F6" s="3"/>
      <c r="G6" s="3"/>
      <c r="H6" s="3"/>
      <c r="I6" s="11"/>
      <c r="J6" s="3"/>
    </row>
    <row r="7" spans="1:10" s="16" customFormat="1" x14ac:dyDescent="0.25">
      <c r="A7" s="14" t="s">
        <v>22</v>
      </c>
      <c r="B7" s="15" t="s">
        <v>13</v>
      </c>
      <c r="C7" s="15" t="s">
        <v>1</v>
      </c>
      <c r="D7" s="15" t="s">
        <v>23</v>
      </c>
      <c r="E7" s="15" t="s">
        <v>24</v>
      </c>
      <c r="F7" s="15" t="s">
        <v>14</v>
      </c>
      <c r="G7" s="15" t="s">
        <v>25</v>
      </c>
      <c r="H7" s="15" t="s">
        <v>26</v>
      </c>
      <c r="I7" s="15" t="s">
        <v>27</v>
      </c>
      <c r="J7" s="15" t="s">
        <v>19</v>
      </c>
    </row>
    <row r="8" spans="1:10" x14ac:dyDescent="0.25">
      <c r="A8" s="5"/>
      <c r="B8" s="3"/>
      <c r="C8" s="3"/>
      <c r="D8" s="3"/>
      <c r="E8" s="3"/>
      <c r="F8" s="3"/>
      <c r="G8" s="3"/>
      <c r="H8" s="3"/>
      <c r="I8" s="3"/>
      <c r="J8" s="3"/>
    </row>
    <row r="9" spans="1:10" s="16" customFormat="1" x14ac:dyDescent="0.25">
      <c r="A9" s="14" t="s">
        <v>28</v>
      </c>
      <c r="B9" s="15" t="s">
        <v>13</v>
      </c>
      <c r="C9" s="15" t="s">
        <v>1</v>
      </c>
      <c r="D9" s="15" t="s">
        <v>23</v>
      </c>
      <c r="E9" s="15" t="s">
        <v>24</v>
      </c>
      <c r="F9" s="15" t="s">
        <v>14</v>
      </c>
      <c r="G9" s="15" t="s">
        <v>25</v>
      </c>
      <c r="H9" s="15" t="s">
        <v>26</v>
      </c>
      <c r="I9" s="15" t="s">
        <v>27</v>
      </c>
      <c r="J9" s="15" t="s">
        <v>19</v>
      </c>
    </row>
    <row r="10" spans="1:10" x14ac:dyDescent="0.25">
      <c r="A10" s="5"/>
      <c r="B10" s="3"/>
      <c r="C10" s="3"/>
      <c r="D10" s="3"/>
      <c r="E10" s="3"/>
      <c r="F10" s="3"/>
      <c r="G10" s="3"/>
      <c r="H10" s="3"/>
      <c r="I10" s="3"/>
      <c r="J10" s="3"/>
    </row>
    <row r="11" spans="1:10" s="16" customFormat="1" x14ac:dyDescent="0.25">
      <c r="A11" s="14" t="s">
        <v>29</v>
      </c>
      <c r="B11" s="15" t="s">
        <v>13</v>
      </c>
      <c r="C11" s="15" t="s">
        <v>1</v>
      </c>
      <c r="D11" s="15" t="s">
        <v>23</v>
      </c>
      <c r="E11" s="15" t="s">
        <v>24</v>
      </c>
      <c r="F11" s="15" t="s">
        <v>14</v>
      </c>
      <c r="G11" s="15" t="s">
        <v>25</v>
      </c>
      <c r="H11" s="15" t="s">
        <v>26</v>
      </c>
      <c r="I11" s="15" t="s">
        <v>27</v>
      </c>
      <c r="J11" s="15" t="s">
        <v>19</v>
      </c>
    </row>
    <row r="12" spans="1:10" x14ac:dyDescent="0.25">
      <c r="A12" s="5"/>
      <c r="B12" s="3"/>
      <c r="C12" s="3"/>
      <c r="D12" s="3"/>
      <c r="E12" s="3"/>
      <c r="F12" s="3"/>
      <c r="G12" s="3"/>
      <c r="H12" s="3"/>
      <c r="I12" s="3"/>
      <c r="J12" s="3"/>
    </row>
    <row r="13" spans="1:10" s="16" customFormat="1" x14ac:dyDescent="0.25">
      <c r="A13" s="14" t="s">
        <v>31</v>
      </c>
      <c r="B13" s="15" t="s">
        <v>13</v>
      </c>
      <c r="C13" s="15" t="s">
        <v>1</v>
      </c>
      <c r="D13" s="15" t="s">
        <v>23</v>
      </c>
      <c r="E13" s="15" t="s">
        <v>24</v>
      </c>
      <c r="F13" s="15" t="s">
        <v>14</v>
      </c>
      <c r="G13" s="15" t="s">
        <v>25</v>
      </c>
      <c r="H13" s="15" t="s">
        <v>26</v>
      </c>
      <c r="I13" s="15" t="s">
        <v>27</v>
      </c>
      <c r="J13" s="15" t="s">
        <v>19</v>
      </c>
    </row>
    <row r="14" spans="1:10" x14ac:dyDescent="0.25">
      <c r="A14" s="5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1" t="s">
        <v>36</v>
      </c>
      <c r="B15" s="1" t="s">
        <v>13</v>
      </c>
      <c r="C15" s="1" t="s">
        <v>37</v>
      </c>
      <c r="D15" s="1" t="s">
        <v>38</v>
      </c>
    </row>
    <row r="16" spans="1:10" x14ac:dyDescent="0.25">
      <c r="A16" s="1"/>
      <c r="B16" s="1"/>
    </row>
    <row r="19" spans="1:2" x14ac:dyDescent="0.25">
      <c r="A19" s="1"/>
      <c r="B19" s="1"/>
    </row>
    <row r="22" spans="1:2" x14ac:dyDescent="0.25">
      <c r="A22" s="1"/>
      <c r="B22" s="1"/>
    </row>
  </sheetData>
  <conditionalFormatting sqref="B5:I6">
    <cfRule type="expression" dxfId="14" priority="1">
      <formula>MOD(ROW(),2)=0</formula>
    </cfRule>
  </conditionalFormatting>
  <conditionalFormatting sqref="B1:J4 B7:J14">
    <cfRule type="expression" dxfId="13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850B1-CE4E-F34D-96A8-C97A41B2509C}">
  <dimension ref="A1:K186"/>
  <sheetViews>
    <sheetView tabSelected="1" zoomScale="143" workbookViewId="0">
      <selection activeCell="I5" sqref="I5"/>
    </sheetView>
  </sheetViews>
  <sheetFormatPr baseColWidth="10" defaultColWidth="10.83203125" defaultRowHeight="18" x14ac:dyDescent="0.25"/>
  <cols>
    <col min="1" max="1" width="15.33203125" style="2" bestFit="1" customWidth="1"/>
    <col min="2" max="2" width="19.1640625" style="2" bestFit="1" customWidth="1"/>
    <col min="3" max="3" width="16.1640625" style="2" bestFit="1" customWidth="1"/>
    <col min="4" max="4" width="11.6640625" style="2" bestFit="1" customWidth="1"/>
    <col min="5" max="5" width="18.6640625" style="2" bestFit="1" customWidth="1"/>
    <col min="6" max="6" width="13.6640625" style="2" bestFit="1" customWidth="1"/>
    <col min="7" max="7" width="13.5" style="2" bestFit="1" customWidth="1"/>
    <col min="8" max="8" width="21.1640625" style="2" bestFit="1" customWidth="1"/>
    <col min="9" max="9" width="20.6640625" style="2" bestFit="1" customWidth="1"/>
    <col min="10" max="10" width="19.6640625" style="2" bestFit="1" customWidth="1"/>
    <col min="11" max="11" width="15.33203125" style="2" bestFit="1" customWidth="1"/>
    <col min="12" max="16384" width="10.83203125" style="2"/>
  </cols>
  <sheetData>
    <row r="1" spans="1:11" ht="19" thickBot="1" x14ac:dyDescent="0.3">
      <c r="A1" s="24" t="s">
        <v>10</v>
      </c>
      <c r="B1" s="24" t="s">
        <v>11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30</v>
      </c>
    </row>
    <row r="2" spans="1:11" x14ac:dyDescent="0.25">
      <c r="A2" s="12">
        <v>1</v>
      </c>
      <c r="B2" s="8" t="s">
        <v>12</v>
      </c>
      <c r="C2" s="9" t="s">
        <v>13</v>
      </c>
      <c r="D2" s="9" t="s">
        <v>1</v>
      </c>
      <c r="E2" s="9" t="s">
        <v>14</v>
      </c>
      <c r="F2" s="9" t="s">
        <v>15</v>
      </c>
      <c r="G2" s="9" t="s">
        <v>0</v>
      </c>
      <c r="H2" s="9" t="s">
        <v>16</v>
      </c>
      <c r="I2" s="9" t="s">
        <v>17</v>
      </c>
      <c r="J2" s="9" t="s">
        <v>19</v>
      </c>
      <c r="K2" s="10"/>
    </row>
    <row r="3" spans="1:11" x14ac:dyDescent="0.25">
      <c r="A3" s="5"/>
      <c r="B3" s="5"/>
      <c r="C3" s="3">
        <v>1</v>
      </c>
      <c r="D3" s="3">
        <v>11000</v>
      </c>
      <c r="E3" s="3" t="s">
        <v>18</v>
      </c>
      <c r="F3" s="6">
        <v>2.56</v>
      </c>
      <c r="G3" s="3">
        <v>0.03</v>
      </c>
      <c r="H3" s="26">
        <v>3.5000000000000003E-2</v>
      </c>
      <c r="I3" s="25">
        <v>7300</v>
      </c>
      <c r="J3" s="11" t="s">
        <v>40</v>
      </c>
      <c r="K3" s="3"/>
    </row>
    <row r="4" spans="1:11" x14ac:dyDescent="0.25">
      <c r="A4" s="12">
        <v>2</v>
      </c>
      <c r="B4" s="12" t="s">
        <v>32</v>
      </c>
      <c r="C4" s="13" t="s">
        <v>13</v>
      </c>
      <c r="D4" s="13" t="s">
        <v>1</v>
      </c>
      <c r="E4" s="13" t="s">
        <v>15</v>
      </c>
      <c r="F4" s="13" t="s">
        <v>0</v>
      </c>
      <c r="G4" s="13" t="s">
        <v>16</v>
      </c>
      <c r="H4" s="13" t="s">
        <v>33</v>
      </c>
      <c r="I4" s="13" t="s">
        <v>19</v>
      </c>
      <c r="J4" s="13"/>
      <c r="K4" s="10"/>
    </row>
    <row r="5" spans="1:11" x14ac:dyDescent="0.25">
      <c r="A5" s="5"/>
      <c r="B5" s="5"/>
      <c r="C5" s="3">
        <v>1</v>
      </c>
      <c r="D5" s="3">
        <v>11000</v>
      </c>
      <c r="E5" s="3">
        <v>2.88</v>
      </c>
      <c r="F5" s="27">
        <v>0.3</v>
      </c>
      <c r="G5" s="27">
        <v>3.5000000000000003E-2</v>
      </c>
      <c r="H5" s="25">
        <v>7000</v>
      </c>
      <c r="I5" s="3" t="s">
        <v>39</v>
      </c>
      <c r="J5" s="11"/>
      <c r="K5" s="3"/>
    </row>
    <row r="6" spans="1:11" x14ac:dyDescent="0.25">
      <c r="A6" s="20">
        <v>4</v>
      </c>
      <c r="B6" s="12" t="s">
        <v>22</v>
      </c>
      <c r="C6" s="15" t="s">
        <v>13</v>
      </c>
      <c r="D6" s="15" t="s">
        <v>1</v>
      </c>
      <c r="E6" s="15" t="s">
        <v>23</v>
      </c>
      <c r="F6" s="15" t="s">
        <v>24</v>
      </c>
      <c r="G6" s="15" t="s">
        <v>14</v>
      </c>
      <c r="H6" s="15" t="s">
        <v>25</v>
      </c>
      <c r="I6" s="15" t="s">
        <v>26</v>
      </c>
      <c r="J6" s="15" t="s">
        <v>27</v>
      </c>
      <c r="K6" s="15" t="s">
        <v>19</v>
      </c>
    </row>
    <row r="7" spans="1:11" x14ac:dyDescent="0.25">
      <c r="A7" s="4"/>
      <c r="B7" s="5"/>
      <c r="C7" s="3">
        <v>0.85199999999999998</v>
      </c>
      <c r="D7" s="3">
        <v>37000</v>
      </c>
      <c r="E7" s="3">
        <v>0.76</v>
      </c>
      <c r="F7" s="3">
        <v>1</v>
      </c>
      <c r="G7" s="3" t="str">
        <f>E3</f>
        <v>MIL</v>
      </c>
      <c r="H7" s="3">
        <v>0</v>
      </c>
      <c r="I7" s="3">
        <v>0</v>
      </c>
      <c r="J7" s="3">
        <v>0</v>
      </c>
      <c r="K7" s="17" t="s">
        <v>22</v>
      </c>
    </row>
    <row r="8" spans="1:11" x14ac:dyDescent="0.25">
      <c r="A8" s="20">
        <v>5</v>
      </c>
      <c r="B8" s="12" t="s">
        <v>28</v>
      </c>
      <c r="C8" s="15" t="s">
        <v>13</v>
      </c>
      <c r="D8" s="15" t="s">
        <v>1</v>
      </c>
      <c r="E8" s="15" t="s">
        <v>23</v>
      </c>
      <c r="F8" s="15" t="s">
        <v>24</v>
      </c>
      <c r="G8" s="15" t="s">
        <v>14</v>
      </c>
      <c r="H8" s="15" t="s">
        <v>25</v>
      </c>
      <c r="I8" s="15" t="s">
        <v>26</v>
      </c>
      <c r="J8" s="28" t="s">
        <v>27</v>
      </c>
      <c r="K8" s="15" t="s">
        <v>19</v>
      </c>
    </row>
    <row r="9" spans="1:11" x14ac:dyDescent="0.25">
      <c r="A9" s="4"/>
      <c r="B9" s="5"/>
      <c r="C9" s="3">
        <v>0.85199999999999998</v>
      </c>
      <c r="D9" s="3">
        <v>35000</v>
      </c>
      <c r="E9" s="3">
        <f>E7</f>
        <v>0.76</v>
      </c>
      <c r="F9" s="3">
        <v>1</v>
      </c>
      <c r="G9" s="3" t="str">
        <f>E3</f>
        <v>MIL</v>
      </c>
      <c r="H9" s="3">
        <v>1.67</v>
      </c>
      <c r="I9" s="3">
        <v>0</v>
      </c>
      <c r="J9" s="3">
        <v>0</v>
      </c>
      <c r="K9" s="3" t="s">
        <v>28</v>
      </c>
    </row>
    <row r="10" spans="1:11" x14ac:dyDescent="0.25">
      <c r="A10" s="20">
        <v>6</v>
      </c>
      <c r="B10" s="14" t="s">
        <v>29</v>
      </c>
      <c r="C10" s="15" t="s">
        <v>13</v>
      </c>
      <c r="D10" s="15" t="s">
        <v>1</v>
      </c>
      <c r="E10" s="15" t="s">
        <v>23</v>
      </c>
      <c r="F10" s="15" t="s">
        <v>24</v>
      </c>
      <c r="G10" s="15" t="s">
        <v>14</v>
      </c>
      <c r="H10" s="15" t="s">
        <v>25</v>
      </c>
      <c r="I10" s="15" t="s">
        <v>26</v>
      </c>
      <c r="J10" s="15" t="s">
        <v>27</v>
      </c>
      <c r="K10" s="15" t="s">
        <v>19</v>
      </c>
    </row>
    <row r="11" spans="1:11" x14ac:dyDescent="0.25">
      <c r="A11" s="4"/>
      <c r="B11" s="5"/>
      <c r="C11" s="3">
        <v>0.85199999999999998</v>
      </c>
      <c r="D11" s="3">
        <v>35000</v>
      </c>
      <c r="E11" s="3">
        <f>E9</f>
        <v>0.76</v>
      </c>
      <c r="F11" s="3">
        <v>1.3</v>
      </c>
      <c r="G11" s="3" t="str">
        <f>E3</f>
        <v>MIL</v>
      </c>
      <c r="H11" s="3">
        <v>0</v>
      </c>
      <c r="I11" s="3">
        <v>0</v>
      </c>
      <c r="J11" s="3">
        <v>0</v>
      </c>
      <c r="K11" s="3" t="s">
        <v>29</v>
      </c>
    </row>
    <row r="12" spans="1:11" s="16" customFormat="1" x14ac:dyDescent="0.25">
      <c r="A12" s="20">
        <v>7</v>
      </c>
      <c r="B12" s="14" t="s">
        <v>31</v>
      </c>
      <c r="C12" s="15" t="s">
        <v>13</v>
      </c>
      <c r="D12" s="28" t="s">
        <v>1</v>
      </c>
      <c r="E12" s="15" t="s">
        <v>23</v>
      </c>
      <c r="F12" s="15" t="s">
        <v>24</v>
      </c>
      <c r="G12" s="15" t="s">
        <v>14</v>
      </c>
      <c r="H12" s="15" t="s">
        <v>25</v>
      </c>
      <c r="I12" s="15" t="s">
        <v>26</v>
      </c>
      <c r="J12" s="15" t="s">
        <v>27</v>
      </c>
      <c r="K12" s="15" t="s">
        <v>19</v>
      </c>
    </row>
    <row r="13" spans="1:11" x14ac:dyDescent="0.25">
      <c r="A13" s="4"/>
      <c r="B13" s="5"/>
      <c r="C13" s="3">
        <v>0.85199999999999998</v>
      </c>
      <c r="D13" s="3">
        <v>37000</v>
      </c>
      <c r="E13" s="3">
        <f>E11</f>
        <v>0.76</v>
      </c>
      <c r="F13" s="3">
        <v>1</v>
      </c>
      <c r="G13" s="3" t="str">
        <f>E3</f>
        <v>MIL</v>
      </c>
      <c r="H13" s="3">
        <v>0</v>
      </c>
      <c r="I13" s="3">
        <v>0</v>
      </c>
      <c r="J13" s="3">
        <v>0</v>
      </c>
      <c r="K13" s="3" t="s">
        <v>31</v>
      </c>
    </row>
    <row r="14" spans="1:11" s="16" customFormat="1" x14ac:dyDescent="0.25">
      <c r="A14" s="20"/>
      <c r="B14" s="10"/>
      <c r="C14" s="10"/>
      <c r="D14" s="10"/>
      <c r="E14" s="10"/>
      <c r="F14" s="10"/>
      <c r="G14" s="10"/>
      <c r="H14" s="10"/>
      <c r="I14" s="18"/>
      <c r="J14" s="10"/>
      <c r="K14" s="19"/>
    </row>
    <row r="15" spans="1:11" x14ac:dyDescent="0.25">
      <c r="A15" s="4"/>
      <c r="B15" s="3"/>
      <c r="C15" s="3"/>
      <c r="D15" s="3"/>
      <c r="E15" s="3"/>
      <c r="F15" s="3"/>
      <c r="G15" s="3"/>
      <c r="H15" s="3"/>
      <c r="I15" s="11"/>
      <c r="J15" s="3"/>
      <c r="K15" s="17"/>
    </row>
    <row r="16" spans="1:11" s="16" customFormat="1" x14ac:dyDescent="0.25">
      <c r="A16" s="20"/>
      <c r="B16" s="10"/>
      <c r="C16" s="10"/>
      <c r="D16" s="10"/>
      <c r="E16" s="10"/>
      <c r="F16" s="10"/>
      <c r="G16" s="10"/>
      <c r="H16" s="10"/>
      <c r="I16" s="18"/>
      <c r="J16" s="10"/>
      <c r="K16" s="19"/>
    </row>
    <row r="17" spans="1:11" x14ac:dyDescent="0.25">
      <c r="A17" s="4"/>
      <c r="B17" s="3"/>
      <c r="C17" s="3"/>
      <c r="D17" s="3"/>
      <c r="E17" s="3"/>
      <c r="F17" s="3"/>
      <c r="G17" s="3"/>
      <c r="H17" s="3"/>
      <c r="I17" s="11"/>
      <c r="J17" s="3"/>
      <c r="K17" s="17"/>
    </row>
    <row r="18" spans="1:11" s="16" customFormat="1" x14ac:dyDescent="0.25">
      <c r="A18" s="20"/>
      <c r="B18" s="10"/>
      <c r="C18" s="10"/>
      <c r="D18" s="10"/>
      <c r="E18" s="10"/>
      <c r="F18" s="10"/>
      <c r="G18" s="10"/>
      <c r="H18" s="10"/>
      <c r="I18" s="18"/>
      <c r="J18" s="10"/>
      <c r="K18" s="19"/>
    </row>
    <row r="19" spans="1:11" x14ac:dyDescent="0.25">
      <c r="A19" s="4"/>
      <c r="B19" s="3"/>
      <c r="C19" s="3"/>
      <c r="D19" s="3"/>
      <c r="E19" s="3"/>
      <c r="F19" s="3"/>
      <c r="G19" s="3"/>
      <c r="H19" s="3"/>
      <c r="I19" s="11"/>
      <c r="J19" s="3"/>
      <c r="K19" s="17"/>
    </row>
    <row r="20" spans="1:11" x14ac:dyDescent="0.25">
      <c r="A20" s="20"/>
      <c r="B20" s="10"/>
      <c r="C20" s="10"/>
      <c r="D20" s="10"/>
      <c r="E20" s="10"/>
      <c r="F20" s="10"/>
      <c r="G20" s="10"/>
      <c r="H20" s="10"/>
      <c r="I20" s="18"/>
      <c r="J20" s="10"/>
      <c r="K20" s="19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1"/>
      <c r="J21" s="3"/>
      <c r="K21" s="17"/>
    </row>
    <row r="22" spans="1:11" x14ac:dyDescent="0.25">
      <c r="A22" s="20"/>
      <c r="B22" s="10"/>
      <c r="C22" s="10"/>
      <c r="D22" s="10"/>
      <c r="E22" s="10"/>
      <c r="F22" s="10"/>
      <c r="G22" s="10"/>
      <c r="H22" s="10"/>
      <c r="I22" s="18"/>
      <c r="J22" s="10"/>
      <c r="K22" s="19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1"/>
      <c r="J23" s="3"/>
      <c r="K23" s="17"/>
    </row>
    <row r="24" spans="1:11" x14ac:dyDescent="0.25">
      <c r="A24" s="20"/>
      <c r="B24" s="10"/>
      <c r="C24" s="10"/>
      <c r="D24" s="10"/>
      <c r="E24" s="10"/>
      <c r="F24" s="10"/>
      <c r="G24" s="10"/>
      <c r="H24" s="10"/>
      <c r="I24" s="18"/>
      <c r="J24" s="10"/>
      <c r="K24" s="19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1"/>
      <c r="J25" s="3"/>
      <c r="K25" s="17"/>
    </row>
    <row r="26" spans="1:11" x14ac:dyDescent="0.25">
      <c r="A26" s="20"/>
      <c r="B26" s="10"/>
      <c r="C26" s="10"/>
      <c r="D26" s="10"/>
      <c r="E26" s="10"/>
      <c r="F26" s="10"/>
      <c r="G26" s="10"/>
      <c r="H26" s="10"/>
      <c r="I26" s="18"/>
      <c r="J26" s="10"/>
      <c r="K26" s="19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1"/>
      <c r="J27" s="3"/>
      <c r="K27" s="17"/>
    </row>
    <row r="28" spans="1:11" x14ac:dyDescent="0.25">
      <c r="A28" s="20"/>
      <c r="B28" s="10"/>
      <c r="C28" s="10"/>
      <c r="D28" s="10"/>
      <c r="E28" s="10"/>
      <c r="F28" s="10"/>
      <c r="G28" s="10"/>
      <c r="H28" s="10"/>
      <c r="I28" s="18"/>
      <c r="J28" s="10"/>
      <c r="K28" s="19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1"/>
      <c r="J29" s="3"/>
      <c r="K29" s="17"/>
    </row>
    <row r="30" spans="1:11" x14ac:dyDescent="0.25">
      <c r="A30" s="20"/>
      <c r="B30" s="10"/>
      <c r="C30" s="10"/>
      <c r="D30" s="10"/>
      <c r="E30" s="10"/>
      <c r="F30" s="10"/>
      <c r="G30" s="10"/>
      <c r="H30" s="10"/>
      <c r="I30" s="18"/>
      <c r="J30" s="10"/>
      <c r="K30" s="19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1"/>
      <c r="J31" s="3"/>
      <c r="K31" s="17"/>
    </row>
    <row r="32" spans="1:11" x14ac:dyDescent="0.25">
      <c r="A32" s="20"/>
      <c r="B32" s="10"/>
      <c r="C32" s="10"/>
      <c r="D32" s="10"/>
      <c r="E32" s="10"/>
      <c r="F32" s="10"/>
      <c r="G32" s="10"/>
      <c r="H32" s="10"/>
      <c r="I32" s="18"/>
      <c r="J32" s="10"/>
      <c r="K32" s="19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1"/>
      <c r="J33" s="3"/>
      <c r="K33" s="17"/>
    </row>
    <row r="34" spans="1:11" x14ac:dyDescent="0.25">
      <c r="A34" s="20"/>
      <c r="B34" s="10"/>
      <c r="C34" s="10"/>
      <c r="D34" s="10"/>
      <c r="E34" s="10"/>
      <c r="F34" s="10"/>
      <c r="G34" s="10"/>
      <c r="H34" s="10"/>
      <c r="I34" s="18"/>
      <c r="J34" s="10"/>
      <c r="K34" s="19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1"/>
      <c r="J35" s="3"/>
      <c r="K35" s="17"/>
    </row>
    <row r="36" spans="1:11" x14ac:dyDescent="0.25">
      <c r="A36" s="20"/>
      <c r="B36" s="10"/>
      <c r="C36" s="10"/>
      <c r="D36" s="10"/>
      <c r="E36" s="10"/>
      <c r="F36" s="10"/>
      <c r="G36" s="10"/>
      <c r="H36" s="10"/>
      <c r="I36" s="18"/>
      <c r="J36" s="10"/>
      <c r="K36" s="19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1"/>
      <c r="J37" s="3"/>
      <c r="K37" s="17"/>
    </row>
    <row r="38" spans="1:11" x14ac:dyDescent="0.25">
      <c r="A38" s="20"/>
      <c r="B38" s="10"/>
      <c r="C38" s="10"/>
      <c r="D38" s="10"/>
      <c r="E38" s="10"/>
      <c r="F38" s="10"/>
      <c r="G38" s="10"/>
      <c r="H38" s="10"/>
      <c r="I38" s="18"/>
      <c r="J38" s="10"/>
      <c r="K38" s="19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1"/>
      <c r="J39" s="3"/>
      <c r="K39" s="17"/>
    </row>
    <row r="40" spans="1:11" x14ac:dyDescent="0.25">
      <c r="A40" s="20"/>
      <c r="B40" s="10"/>
      <c r="C40" s="10"/>
      <c r="D40" s="10"/>
      <c r="E40" s="10"/>
      <c r="F40" s="10"/>
      <c r="G40" s="10"/>
      <c r="H40" s="10"/>
      <c r="I40" s="18"/>
      <c r="J40" s="10"/>
      <c r="K40" s="19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1"/>
      <c r="J41" s="3"/>
      <c r="K41" s="17"/>
    </row>
    <row r="42" spans="1:11" x14ac:dyDescent="0.25">
      <c r="A42" s="20"/>
      <c r="B42" s="10"/>
      <c r="C42" s="10"/>
      <c r="D42" s="10"/>
      <c r="E42" s="10"/>
      <c r="F42" s="10"/>
      <c r="G42" s="10"/>
      <c r="H42" s="10"/>
      <c r="I42" s="18"/>
      <c r="J42" s="10"/>
      <c r="K42" s="19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1"/>
      <c r="J43" s="3"/>
      <c r="K43" s="17"/>
    </row>
    <row r="44" spans="1:11" x14ac:dyDescent="0.25">
      <c r="A44" s="20"/>
      <c r="B44" s="10"/>
      <c r="C44" s="10"/>
      <c r="D44" s="10"/>
      <c r="E44" s="10"/>
      <c r="F44" s="10"/>
      <c r="G44" s="10"/>
      <c r="H44" s="10"/>
      <c r="I44" s="18"/>
      <c r="J44" s="10"/>
      <c r="K44" s="19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1"/>
      <c r="J45" s="3"/>
      <c r="K45" s="17"/>
    </row>
    <row r="46" spans="1:11" x14ac:dyDescent="0.25">
      <c r="A46" s="20"/>
      <c r="B46" s="10"/>
      <c r="C46" s="10"/>
      <c r="D46" s="10"/>
      <c r="E46" s="10"/>
      <c r="F46" s="10"/>
      <c r="G46" s="10"/>
      <c r="H46" s="10"/>
      <c r="I46" s="18"/>
      <c r="J46" s="10"/>
      <c r="K46" s="19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1"/>
      <c r="J47" s="3"/>
      <c r="K47" s="17"/>
    </row>
    <row r="48" spans="1:11" x14ac:dyDescent="0.25">
      <c r="A48" s="20"/>
      <c r="B48" s="10"/>
      <c r="C48" s="10"/>
      <c r="D48" s="10"/>
      <c r="E48" s="10"/>
      <c r="F48" s="10"/>
      <c r="G48" s="10"/>
      <c r="H48" s="10"/>
      <c r="I48" s="18"/>
      <c r="J48" s="10"/>
      <c r="K48" s="19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1"/>
      <c r="J49" s="3"/>
      <c r="K49" s="17"/>
    </row>
    <row r="50" spans="1:11" x14ac:dyDescent="0.25">
      <c r="A50" s="20"/>
      <c r="B50" s="10"/>
      <c r="C50" s="10"/>
      <c r="D50" s="10"/>
      <c r="E50" s="10"/>
      <c r="F50" s="10"/>
      <c r="G50" s="10"/>
      <c r="H50" s="10"/>
      <c r="I50" s="18"/>
      <c r="J50" s="10"/>
      <c r="K50" s="19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1"/>
      <c r="J51" s="3"/>
      <c r="K51" s="17"/>
    </row>
    <row r="52" spans="1:11" x14ac:dyDescent="0.25">
      <c r="A52" s="20"/>
      <c r="B52" s="10"/>
      <c r="C52" s="10"/>
      <c r="D52" s="10"/>
      <c r="E52" s="10"/>
      <c r="F52" s="10"/>
      <c r="G52" s="10"/>
      <c r="H52" s="10"/>
      <c r="I52" s="18"/>
      <c r="J52" s="10"/>
      <c r="K52" s="19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1"/>
      <c r="J53" s="3"/>
      <c r="K53" s="17"/>
    </row>
    <row r="54" spans="1:11" x14ac:dyDescent="0.25">
      <c r="A54" s="20"/>
      <c r="B54" s="10"/>
      <c r="C54" s="10"/>
      <c r="D54" s="10"/>
      <c r="E54" s="10"/>
      <c r="F54" s="10"/>
      <c r="G54" s="10"/>
      <c r="H54" s="10"/>
      <c r="I54" s="18"/>
      <c r="J54" s="10"/>
      <c r="K54" s="19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1"/>
      <c r="J55" s="3"/>
      <c r="K55" s="17"/>
    </row>
    <row r="56" spans="1:11" x14ac:dyDescent="0.25">
      <c r="A56" s="20"/>
      <c r="B56" s="10"/>
      <c r="C56" s="10"/>
      <c r="D56" s="10"/>
      <c r="E56" s="10"/>
      <c r="F56" s="10"/>
      <c r="G56" s="10"/>
      <c r="H56" s="10"/>
      <c r="I56" s="18"/>
      <c r="J56" s="10"/>
      <c r="K56" s="19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1"/>
      <c r="J57" s="3"/>
      <c r="K57" s="17"/>
    </row>
    <row r="58" spans="1:11" x14ac:dyDescent="0.25">
      <c r="A58" s="20"/>
      <c r="B58" s="10"/>
      <c r="C58" s="10"/>
      <c r="D58" s="10"/>
      <c r="E58" s="10"/>
      <c r="F58" s="10"/>
      <c r="G58" s="10"/>
      <c r="H58" s="10"/>
      <c r="I58" s="18"/>
      <c r="J58" s="10"/>
      <c r="K58" s="19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1"/>
      <c r="J59" s="3"/>
      <c r="K59" s="17"/>
    </row>
    <row r="60" spans="1:11" x14ac:dyDescent="0.25">
      <c r="A60" s="20"/>
      <c r="B60" s="10"/>
      <c r="C60" s="10"/>
      <c r="D60" s="10"/>
      <c r="E60" s="10"/>
      <c r="F60" s="10"/>
      <c r="G60" s="10"/>
      <c r="H60" s="10"/>
      <c r="I60" s="18"/>
      <c r="J60" s="10"/>
      <c r="K60" s="19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1"/>
      <c r="J61" s="3"/>
      <c r="K61" s="17"/>
    </row>
    <row r="62" spans="1:11" x14ac:dyDescent="0.25">
      <c r="A62" s="20"/>
      <c r="B62" s="10"/>
      <c r="C62" s="10"/>
      <c r="D62" s="10"/>
      <c r="E62" s="10"/>
      <c r="F62" s="10"/>
      <c r="G62" s="10"/>
      <c r="H62" s="10"/>
      <c r="I62" s="18"/>
      <c r="J62" s="10"/>
      <c r="K62" s="19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1"/>
      <c r="J63" s="3"/>
      <c r="K63" s="17"/>
    </row>
    <row r="64" spans="1:11" x14ac:dyDescent="0.25">
      <c r="A64" s="20"/>
      <c r="B64" s="10"/>
      <c r="C64" s="10"/>
      <c r="D64" s="10"/>
      <c r="E64" s="10"/>
      <c r="F64" s="10"/>
      <c r="G64" s="10"/>
      <c r="H64" s="10"/>
      <c r="I64" s="18"/>
      <c r="J64" s="10"/>
      <c r="K64" s="19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1"/>
      <c r="J65" s="3"/>
      <c r="K65" s="17"/>
    </row>
    <row r="66" spans="1:11" x14ac:dyDescent="0.25">
      <c r="A66" s="20"/>
      <c r="B66" s="10"/>
      <c r="C66" s="10"/>
      <c r="D66" s="10"/>
      <c r="E66" s="10"/>
      <c r="F66" s="10"/>
      <c r="G66" s="10"/>
      <c r="H66" s="10"/>
      <c r="I66" s="18"/>
      <c r="J66" s="10"/>
      <c r="K66" s="19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1"/>
      <c r="J67" s="3"/>
      <c r="K67" s="17"/>
    </row>
    <row r="68" spans="1:11" x14ac:dyDescent="0.25">
      <c r="A68" s="20"/>
      <c r="B68" s="10"/>
      <c r="C68" s="10"/>
      <c r="D68" s="10"/>
      <c r="E68" s="10"/>
      <c r="F68" s="10"/>
      <c r="G68" s="10"/>
      <c r="H68" s="10"/>
      <c r="I68" s="18"/>
      <c r="J68" s="10"/>
      <c r="K68" s="19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1"/>
      <c r="J69" s="3"/>
      <c r="K69" s="17"/>
    </row>
    <row r="70" spans="1:11" x14ac:dyDescent="0.25">
      <c r="A70" s="20"/>
      <c r="B70" s="10"/>
      <c r="C70" s="10"/>
      <c r="D70" s="10"/>
      <c r="E70" s="10"/>
      <c r="F70" s="10"/>
      <c r="G70" s="10"/>
      <c r="H70" s="10"/>
      <c r="I70" s="18"/>
      <c r="J70" s="10"/>
      <c r="K70" s="19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1"/>
      <c r="J71" s="3"/>
      <c r="K71" s="17"/>
    </row>
    <row r="72" spans="1:11" x14ac:dyDescent="0.25">
      <c r="A72" s="20"/>
      <c r="B72" s="10"/>
      <c r="C72" s="10"/>
      <c r="D72" s="10"/>
      <c r="E72" s="10"/>
      <c r="F72" s="10"/>
      <c r="G72" s="10"/>
      <c r="H72" s="10"/>
      <c r="I72" s="18"/>
      <c r="J72" s="10"/>
      <c r="K72" s="19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1"/>
      <c r="J73" s="3"/>
      <c r="K73" s="17"/>
    </row>
    <row r="74" spans="1:11" x14ac:dyDescent="0.25">
      <c r="A74" s="20"/>
      <c r="B74" s="10"/>
      <c r="C74" s="10"/>
      <c r="D74" s="10"/>
      <c r="E74" s="10"/>
      <c r="F74" s="10"/>
      <c r="G74" s="10"/>
      <c r="H74" s="10"/>
      <c r="I74" s="18"/>
      <c r="J74" s="10"/>
      <c r="K74" s="19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1"/>
      <c r="J75" s="3"/>
      <c r="K75" s="17"/>
    </row>
    <row r="76" spans="1:11" x14ac:dyDescent="0.25">
      <c r="A76" s="20"/>
      <c r="B76" s="10"/>
      <c r="C76" s="10"/>
      <c r="D76" s="10"/>
      <c r="E76" s="10"/>
      <c r="F76" s="10"/>
      <c r="G76" s="10"/>
      <c r="H76" s="10"/>
      <c r="I76" s="18"/>
      <c r="J76" s="10"/>
      <c r="K76" s="19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1"/>
      <c r="J77" s="3"/>
      <c r="K77" s="17"/>
    </row>
    <row r="78" spans="1:11" x14ac:dyDescent="0.25">
      <c r="A78" s="20"/>
      <c r="B78" s="10"/>
      <c r="C78" s="10"/>
      <c r="D78" s="10"/>
      <c r="E78" s="10"/>
      <c r="F78" s="10"/>
      <c r="G78" s="10"/>
      <c r="H78" s="10"/>
      <c r="I78" s="18"/>
      <c r="J78" s="10"/>
      <c r="K78" s="19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1"/>
      <c r="J79" s="3"/>
      <c r="K79" s="17"/>
    </row>
    <row r="80" spans="1:11" x14ac:dyDescent="0.25">
      <c r="A80" s="20"/>
      <c r="B80" s="10"/>
      <c r="C80" s="10"/>
      <c r="D80" s="10"/>
      <c r="E80" s="10"/>
      <c r="F80" s="10"/>
      <c r="G80" s="10"/>
      <c r="H80" s="10"/>
      <c r="I80" s="18"/>
      <c r="J80" s="10"/>
      <c r="K80" s="19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1"/>
      <c r="J81" s="3"/>
      <c r="K81" s="17"/>
    </row>
    <row r="82" spans="1:11" x14ac:dyDescent="0.25">
      <c r="A82" s="20"/>
      <c r="B82" s="10"/>
      <c r="C82" s="10"/>
      <c r="D82" s="10"/>
      <c r="E82" s="10"/>
      <c r="F82" s="10"/>
      <c r="G82" s="10"/>
      <c r="H82" s="10"/>
      <c r="I82" s="18"/>
      <c r="J82" s="10"/>
      <c r="K82" s="19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1"/>
      <c r="J83" s="3"/>
      <c r="K83" s="17"/>
    </row>
    <row r="84" spans="1:11" x14ac:dyDescent="0.25">
      <c r="A84" s="20"/>
      <c r="B84" s="10"/>
      <c r="C84" s="10"/>
      <c r="D84" s="10"/>
      <c r="E84" s="10"/>
      <c r="F84" s="10"/>
      <c r="G84" s="10"/>
      <c r="H84" s="10"/>
      <c r="I84" s="18"/>
      <c r="J84" s="10"/>
      <c r="K84" s="19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1"/>
      <c r="J85" s="3"/>
      <c r="K85" s="17"/>
    </row>
    <row r="86" spans="1:11" x14ac:dyDescent="0.25">
      <c r="A86" s="20"/>
      <c r="B86" s="10"/>
      <c r="C86" s="10"/>
      <c r="D86" s="10"/>
      <c r="E86" s="10"/>
      <c r="F86" s="10"/>
      <c r="G86" s="10"/>
      <c r="H86" s="10"/>
      <c r="I86" s="18"/>
      <c r="J86" s="10"/>
      <c r="K86" s="19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1"/>
      <c r="J87" s="3"/>
      <c r="K87" s="17"/>
    </row>
    <row r="88" spans="1:11" x14ac:dyDescent="0.25">
      <c r="A88" s="20"/>
      <c r="B88" s="10"/>
      <c r="C88" s="10"/>
      <c r="D88" s="10"/>
      <c r="E88" s="10"/>
      <c r="F88" s="10"/>
      <c r="G88" s="10"/>
      <c r="H88" s="10"/>
      <c r="I88" s="18"/>
      <c r="J88" s="10"/>
      <c r="K88" s="19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1"/>
      <c r="J89" s="3"/>
      <c r="K89" s="17"/>
    </row>
    <row r="90" spans="1:11" x14ac:dyDescent="0.25">
      <c r="A90" s="20"/>
      <c r="B90" s="10"/>
      <c r="C90" s="10"/>
      <c r="D90" s="10"/>
      <c r="E90" s="10"/>
      <c r="F90" s="10"/>
      <c r="G90" s="10"/>
      <c r="H90" s="10"/>
      <c r="I90" s="18"/>
      <c r="J90" s="10"/>
      <c r="K90" s="19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1"/>
      <c r="J91" s="3"/>
      <c r="K91" s="17"/>
    </row>
    <row r="92" spans="1:11" x14ac:dyDescent="0.25">
      <c r="A92" s="20"/>
      <c r="B92" s="10"/>
      <c r="C92" s="10"/>
      <c r="D92" s="10"/>
      <c r="E92" s="10"/>
      <c r="F92" s="10"/>
      <c r="G92" s="10"/>
      <c r="H92" s="10"/>
      <c r="I92" s="18"/>
      <c r="J92" s="10"/>
      <c r="K92" s="19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1"/>
      <c r="J93" s="3"/>
      <c r="K93" s="17"/>
    </row>
    <row r="94" spans="1:11" x14ac:dyDescent="0.25">
      <c r="A94" s="20"/>
      <c r="B94" s="10"/>
      <c r="C94" s="10"/>
      <c r="D94" s="10"/>
      <c r="E94" s="10"/>
      <c r="F94" s="10"/>
      <c r="G94" s="10"/>
      <c r="H94" s="10"/>
      <c r="I94" s="18"/>
      <c r="J94" s="10"/>
      <c r="K94" s="19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1"/>
      <c r="J95" s="3"/>
      <c r="K95" s="17"/>
    </row>
    <row r="96" spans="1:11" x14ac:dyDescent="0.25">
      <c r="A96" s="20"/>
      <c r="B96" s="10"/>
      <c r="C96" s="10"/>
      <c r="D96" s="10"/>
      <c r="E96" s="10"/>
      <c r="F96" s="10"/>
      <c r="G96" s="10"/>
      <c r="H96" s="10"/>
      <c r="I96" s="18"/>
      <c r="J96" s="10"/>
      <c r="K96" s="19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1"/>
      <c r="J97" s="3"/>
      <c r="K97" s="17"/>
    </row>
    <row r="98" spans="1:11" x14ac:dyDescent="0.25">
      <c r="A98" s="20"/>
      <c r="B98" s="10"/>
      <c r="C98" s="10"/>
      <c r="D98" s="10"/>
      <c r="E98" s="10"/>
      <c r="F98" s="10"/>
      <c r="G98" s="10"/>
      <c r="H98" s="10"/>
      <c r="I98" s="18"/>
      <c r="J98" s="10"/>
      <c r="K98" s="19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1"/>
      <c r="J99" s="3"/>
      <c r="K99" s="17"/>
    </row>
    <row r="100" spans="1:11" x14ac:dyDescent="0.25">
      <c r="A100" s="20"/>
      <c r="B100" s="10"/>
      <c r="C100" s="10"/>
      <c r="D100" s="10"/>
      <c r="E100" s="10"/>
      <c r="F100" s="10"/>
      <c r="G100" s="10"/>
      <c r="H100" s="10"/>
      <c r="I100" s="18"/>
      <c r="J100" s="10"/>
      <c r="K100" s="19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1"/>
      <c r="J101" s="3"/>
      <c r="K101" s="17"/>
    </row>
    <row r="102" spans="1:11" x14ac:dyDescent="0.25">
      <c r="A102" s="20"/>
      <c r="B102" s="10"/>
      <c r="C102" s="10"/>
      <c r="D102" s="10"/>
      <c r="E102" s="10"/>
      <c r="F102" s="10"/>
      <c r="G102" s="10"/>
      <c r="H102" s="10"/>
      <c r="I102" s="18"/>
      <c r="J102" s="10"/>
      <c r="K102" s="19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1"/>
      <c r="J103" s="3"/>
      <c r="K103" s="17"/>
    </row>
    <row r="104" spans="1:11" x14ac:dyDescent="0.25">
      <c r="A104" s="20"/>
      <c r="B104" s="10"/>
      <c r="C104" s="10"/>
      <c r="D104" s="10"/>
      <c r="E104" s="10"/>
      <c r="F104" s="10"/>
      <c r="G104" s="10"/>
      <c r="H104" s="10"/>
      <c r="I104" s="18"/>
      <c r="J104" s="10"/>
      <c r="K104" s="19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1"/>
      <c r="J105" s="3"/>
      <c r="K105" s="17"/>
    </row>
    <row r="106" spans="1:11" x14ac:dyDescent="0.25">
      <c r="A106" s="20"/>
      <c r="B106" s="10"/>
      <c r="C106" s="10"/>
      <c r="D106" s="10"/>
      <c r="E106" s="10"/>
      <c r="F106" s="10"/>
      <c r="G106" s="10"/>
      <c r="H106" s="10"/>
      <c r="I106" s="18"/>
      <c r="J106" s="10"/>
      <c r="K106" s="19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1"/>
      <c r="J107" s="3"/>
      <c r="K107" s="17"/>
    </row>
    <row r="108" spans="1:11" x14ac:dyDescent="0.25">
      <c r="A108" s="20"/>
      <c r="B108" s="10"/>
      <c r="C108" s="10"/>
      <c r="D108" s="10"/>
      <c r="E108" s="10"/>
      <c r="F108" s="10"/>
      <c r="G108" s="10"/>
      <c r="H108" s="10"/>
      <c r="I108" s="18"/>
      <c r="J108" s="10"/>
      <c r="K108" s="19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1"/>
      <c r="J109" s="3"/>
      <c r="K109" s="17"/>
    </row>
    <row r="110" spans="1:11" x14ac:dyDescent="0.25">
      <c r="A110" s="4"/>
      <c r="B110" s="10"/>
      <c r="C110" s="10"/>
      <c r="D110" s="10"/>
      <c r="E110" s="10"/>
      <c r="F110" s="10"/>
      <c r="G110" s="10"/>
      <c r="H110" s="10"/>
      <c r="I110" s="18"/>
      <c r="J110" s="10"/>
      <c r="K110" s="19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1"/>
      <c r="J111" s="3"/>
      <c r="K111" s="17"/>
    </row>
    <row r="112" spans="1:11" x14ac:dyDescent="0.25">
      <c r="A112" s="4"/>
      <c r="B112" s="10"/>
      <c r="C112" s="10"/>
      <c r="D112" s="10"/>
      <c r="E112" s="10"/>
      <c r="F112" s="10"/>
      <c r="G112" s="10"/>
      <c r="H112" s="10"/>
      <c r="I112" s="18"/>
      <c r="J112" s="10"/>
      <c r="K112" s="19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1"/>
      <c r="J113" s="3"/>
      <c r="K113" s="17"/>
    </row>
    <row r="114" spans="1:11" x14ac:dyDescent="0.25">
      <c r="A114" s="4"/>
      <c r="B114" s="10"/>
      <c r="C114" s="10"/>
      <c r="D114" s="10"/>
      <c r="E114" s="10"/>
      <c r="F114" s="10"/>
      <c r="G114" s="10"/>
      <c r="H114" s="10"/>
      <c r="I114" s="18"/>
      <c r="J114" s="10"/>
      <c r="K114" s="19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1"/>
      <c r="J115" s="3"/>
      <c r="K115" s="17"/>
    </row>
    <row r="116" spans="1:11" x14ac:dyDescent="0.25">
      <c r="A116" s="4"/>
      <c r="B116" s="10"/>
      <c r="C116" s="10"/>
      <c r="D116" s="10"/>
      <c r="E116" s="10"/>
      <c r="F116" s="10"/>
      <c r="G116" s="10"/>
      <c r="H116" s="10"/>
      <c r="I116" s="18"/>
      <c r="J116" s="10"/>
      <c r="K116" s="19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1"/>
      <c r="J117" s="3"/>
      <c r="K117" s="17"/>
    </row>
    <row r="118" spans="1:11" x14ac:dyDescent="0.25">
      <c r="A118" s="4"/>
      <c r="B118" s="10"/>
      <c r="C118" s="10"/>
      <c r="D118" s="10"/>
      <c r="E118" s="10"/>
      <c r="F118" s="10"/>
      <c r="G118" s="10"/>
      <c r="H118" s="10"/>
      <c r="I118" s="18"/>
      <c r="J118" s="10"/>
      <c r="K118" s="19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1"/>
      <c r="J119" s="3"/>
      <c r="K119" s="17"/>
    </row>
    <row r="120" spans="1:11" x14ac:dyDescent="0.25">
      <c r="A120" s="4"/>
      <c r="B120" s="10"/>
      <c r="C120" s="10"/>
      <c r="D120" s="10"/>
      <c r="E120" s="10"/>
      <c r="F120" s="10"/>
      <c r="G120" s="10"/>
      <c r="H120" s="10"/>
      <c r="I120" s="18"/>
      <c r="J120" s="10"/>
      <c r="K120" s="19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1"/>
      <c r="J121" s="3"/>
      <c r="K121" s="17"/>
    </row>
    <row r="122" spans="1:11" x14ac:dyDescent="0.25">
      <c r="A122" s="4"/>
      <c r="B122" s="10"/>
      <c r="C122" s="10"/>
      <c r="D122" s="10"/>
      <c r="E122" s="10"/>
      <c r="F122" s="10"/>
      <c r="G122" s="10"/>
      <c r="H122" s="10"/>
      <c r="I122" s="18"/>
      <c r="J122" s="10"/>
      <c r="K122" s="19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1"/>
      <c r="J123" s="3"/>
      <c r="K123" s="17"/>
    </row>
    <row r="124" spans="1:11" x14ac:dyDescent="0.25">
      <c r="A124" s="4"/>
      <c r="B124" s="10"/>
      <c r="C124" s="10"/>
      <c r="D124" s="10"/>
      <c r="E124" s="10"/>
      <c r="F124" s="10"/>
      <c r="G124" s="10"/>
      <c r="H124" s="10"/>
      <c r="I124" s="18"/>
      <c r="J124" s="10"/>
      <c r="K124" s="19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1"/>
      <c r="J125" s="3"/>
      <c r="K125" s="17"/>
    </row>
    <row r="126" spans="1:11" x14ac:dyDescent="0.25">
      <c r="A126" s="4"/>
      <c r="B126" s="10"/>
      <c r="C126" s="10"/>
      <c r="D126" s="10"/>
      <c r="E126" s="10"/>
      <c r="F126" s="10"/>
      <c r="G126" s="10"/>
      <c r="H126" s="10"/>
      <c r="I126" s="18"/>
      <c r="J126" s="10"/>
      <c r="K126" s="19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1"/>
      <c r="J127" s="3"/>
      <c r="K127" s="17"/>
    </row>
    <row r="128" spans="1:11" x14ac:dyDescent="0.25">
      <c r="A128" s="4"/>
      <c r="B128" s="10"/>
      <c r="C128" s="10"/>
      <c r="D128" s="10"/>
      <c r="E128" s="10"/>
      <c r="F128" s="10"/>
      <c r="G128" s="10"/>
      <c r="H128" s="10"/>
      <c r="I128" s="18"/>
      <c r="J128" s="10"/>
      <c r="K128" s="19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1"/>
      <c r="J129" s="3"/>
      <c r="K129" s="17"/>
    </row>
    <row r="130" spans="1:11" x14ac:dyDescent="0.25">
      <c r="A130" s="4"/>
      <c r="B130" s="10"/>
      <c r="C130" s="10"/>
      <c r="D130" s="10"/>
      <c r="E130" s="10"/>
      <c r="F130" s="10"/>
      <c r="G130" s="10"/>
      <c r="H130" s="10"/>
      <c r="I130" s="18"/>
      <c r="J130" s="10"/>
      <c r="K130" s="19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1"/>
      <c r="J131" s="3"/>
      <c r="K131" s="17"/>
    </row>
    <row r="132" spans="1:11" x14ac:dyDescent="0.25">
      <c r="A132" s="4"/>
      <c r="B132" s="10"/>
      <c r="C132" s="10"/>
      <c r="D132" s="10"/>
      <c r="E132" s="10"/>
      <c r="F132" s="10"/>
      <c r="G132" s="10"/>
      <c r="H132" s="10"/>
      <c r="I132" s="18"/>
      <c r="J132" s="10"/>
      <c r="K132" s="19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1"/>
      <c r="J133" s="3"/>
      <c r="K133" s="17"/>
    </row>
    <row r="134" spans="1:11" x14ac:dyDescent="0.25">
      <c r="A134" s="4"/>
      <c r="B134" s="10"/>
      <c r="C134" s="10"/>
      <c r="D134" s="10"/>
      <c r="E134" s="10"/>
      <c r="F134" s="10"/>
      <c r="G134" s="10"/>
      <c r="H134" s="10"/>
      <c r="I134" s="18"/>
      <c r="J134" s="10"/>
      <c r="K134" s="19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1"/>
      <c r="J135" s="3"/>
      <c r="K135" s="17"/>
    </row>
    <row r="136" spans="1:11" x14ac:dyDescent="0.25">
      <c r="A136" s="4"/>
      <c r="B136" s="10"/>
      <c r="C136" s="10"/>
      <c r="D136" s="10"/>
      <c r="E136" s="10"/>
      <c r="F136" s="10"/>
      <c r="G136" s="10"/>
      <c r="H136" s="10"/>
      <c r="I136" s="18"/>
      <c r="J136" s="10"/>
      <c r="K136" s="19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1"/>
      <c r="J137" s="3"/>
      <c r="K137" s="17"/>
    </row>
    <row r="138" spans="1:11" x14ac:dyDescent="0.25">
      <c r="A138" s="4"/>
      <c r="B138" s="10"/>
      <c r="C138" s="10"/>
      <c r="D138" s="10"/>
      <c r="E138" s="10"/>
      <c r="F138" s="10"/>
      <c r="G138" s="10"/>
      <c r="H138" s="10"/>
      <c r="I138" s="18"/>
      <c r="J138" s="10"/>
      <c r="K138" s="19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1"/>
      <c r="J139" s="3"/>
      <c r="K139" s="17"/>
    </row>
    <row r="140" spans="1:11" x14ac:dyDescent="0.25">
      <c r="A140" s="4"/>
      <c r="B140" s="10"/>
      <c r="C140" s="10"/>
      <c r="D140" s="10"/>
      <c r="E140" s="10"/>
      <c r="F140" s="10"/>
      <c r="G140" s="10"/>
      <c r="H140" s="10"/>
      <c r="I140" s="18"/>
      <c r="J140" s="10"/>
      <c r="K140" s="19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1"/>
      <c r="J141" s="3"/>
      <c r="K141" s="17"/>
    </row>
    <row r="142" spans="1:11" x14ac:dyDescent="0.25">
      <c r="A142" s="4"/>
      <c r="B142" s="10"/>
      <c r="C142" s="10"/>
      <c r="D142" s="10"/>
      <c r="E142" s="10"/>
      <c r="F142" s="10"/>
      <c r="G142" s="10"/>
      <c r="H142" s="10"/>
      <c r="I142" s="18"/>
      <c r="J142" s="10"/>
      <c r="K142" s="19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1"/>
      <c r="J143" s="3"/>
      <c r="K143" s="17"/>
    </row>
    <row r="144" spans="1:11" x14ac:dyDescent="0.25">
      <c r="A144" s="4"/>
      <c r="B144" s="10"/>
      <c r="C144" s="10"/>
      <c r="D144" s="10"/>
      <c r="E144" s="10"/>
      <c r="F144" s="10"/>
      <c r="G144" s="10"/>
      <c r="H144" s="10"/>
      <c r="I144" s="18"/>
      <c r="J144" s="10"/>
      <c r="K144" s="19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1"/>
      <c r="J145" s="3"/>
      <c r="K145" s="17"/>
    </row>
    <row r="146" spans="1:11" x14ac:dyDescent="0.25">
      <c r="A146" s="4"/>
      <c r="B146" s="10"/>
      <c r="C146" s="10"/>
      <c r="D146" s="10"/>
      <c r="E146" s="10"/>
      <c r="F146" s="10"/>
      <c r="G146" s="10"/>
      <c r="H146" s="10"/>
      <c r="I146" s="18"/>
      <c r="J146" s="10"/>
      <c r="K146" s="19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1"/>
      <c r="J147" s="3"/>
      <c r="K147" s="17"/>
    </row>
    <row r="148" spans="1:11" x14ac:dyDescent="0.25">
      <c r="A148" s="4"/>
      <c r="B148" s="10"/>
      <c r="C148" s="10"/>
      <c r="D148" s="10"/>
      <c r="E148" s="10"/>
      <c r="F148" s="10"/>
      <c r="G148" s="10"/>
      <c r="H148" s="10"/>
      <c r="I148" s="18"/>
      <c r="J148" s="10"/>
      <c r="K148" s="19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1"/>
      <c r="J149" s="3"/>
      <c r="K149" s="17"/>
    </row>
    <row r="150" spans="1:11" x14ac:dyDescent="0.25">
      <c r="A150" s="4"/>
      <c r="B150" s="10"/>
      <c r="C150" s="10"/>
      <c r="D150" s="10"/>
      <c r="E150" s="10"/>
      <c r="F150" s="10"/>
      <c r="G150" s="10"/>
      <c r="H150" s="10"/>
      <c r="I150" s="18"/>
      <c r="J150" s="10"/>
      <c r="K150" s="19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1"/>
      <c r="J151" s="3"/>
      <c r="K151" s="17"/>
    </row>
    <row r="152" spans="1:11" x14ac:dyDescent="0.25">
      <c r="A152" s="4"/>
      <c r="B152" s="10"/>
      <c r="C152" s="10"/>
      <c r="D152" s="10"/>
      <c r="E152" s="10"/>
      <c r="F152" s="10"/>
      <c r="G152" s="10"/>
      <c r="H152" s="10"/>
      <c r="I152" s="18"/>
      <c r="J152" s="10"/>
      <c r="K152" s="19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1"/>
      <c r="J153" s="3"/>
      <c r="K153" s="17"/>
    </row>
    <row r="154" spans="1:11" x14ac:dyDescent="0.25">
      <c r="A154" s="4"/>
      <c r="B154" s="10"/>
      <c r="C154" s="10"/>
      <c r="D154" s="10"/>
      <c r="E154" s="10"/>
      <c r="F154" s="10"/>
      <c r="G154" s="10"/>
      <c r="H154" s="10"/>
      <c r="I154" s="18"/>
      <c r="J154" s="10"/>
      <c r="K154" s="19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1"/>
      <c r="J155" s="3"/>
      <c r="K155" s="17"/>
    </row>
    <row r="156" spans="1:11" x14ac:dyDescent="0.25">
      <c r="A156" s="4"/>
      <c r="B156" s="10"/>
      <c r="C156" s="10"/>
      <c r="D156" s="10"/>
      <c r="E156" s="10"/>
      <c r="F156" s="10"/>
      <c r="G156" s="10"/>
      <c r="H156" s="10"/>
      <c r="I156" s="18"/>
      <c r="J156" s="10"/>
      <c r="K156" s="19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1"/>
      <c r="J157" s="3"/>
      <c r="K157" s="17"/>
    </row>
    <row r="158" spans="1:11" x14ac:dyDescent="0.25">
      <c r="A158" s="4"/>
      <c r="B158" s="10"/>
      <c r="C158" s="10"/>
      <c r="D158" s="10"/>
      <c r="E158" s="10"/>
      <c r="F158" s="10"/>
      <c r="G158" s="10"/>
      <c r="H158" s="10"/>
      <c r="I158" s="18"/>
      <c r="J158" s="10"/>
      <c r="K158" s="19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1"/>
      <c r="J159" s="3"/>
      <c r="K159" s="17"/>
    </row>
    <row r="160" spans="1:11" x14ac:dyDescent="0.25">
      <c r="A160" s="4"/>
      <c r="B160" s="10"/>
      <c r="C160" s="10"/>
      <c r="D160" s="10"/>
      <c r="E160" s="10"/>
      <c r="F160" s="10"/>
      <c r="G160" s="10"/>
      <c r="H160" s="10"/>
      <c r="I160" s="18"/>
      <c r="J160" s="10"/>
      <c r="K160" s="19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1"/>
      <c r="J161" s="3"/>
      <c r="K161" s="17"/>
    </row>
    <row r="162" spans="1:11" x14ac:dyDescent="0.25">
      <c r="A162" s="4"/>
      <c r="B162" s="10"/>
      <c r="C162" s="10"/>
      <c r="D162" s="10"/>
      <c r="E162" s="10"/>
      <c r="F162" s="10"/>
      <c r="G162" s="10"/>
      <c r="H162" s="10"/>
      <c r="I162" s="18"/>
      <c r="J162" s="10"/>
      <c r="K162" s="19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1"/>
      <c r="J163" s="3"/>
      <c r="K163" s="17"/>
    </row>
    <row r="164" spans="1:11" x14ac:dyDescent="0.25">
      <c r="A164" s="4"/>
      <c r="B164" s="10"/>
      <c r="C164" s="10"/>
      <c r="D164" s="10"/>
      <c r="E164" s="10"/>
      <c r="F164" s="10"/>
      <c r="G164" s="10"/>
      <c r="H164" s="10"/>
      <c r="I164" s="18"/>
      <c r="J164" s="10"/>
      <c r="K164" s="19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1"/>
      <c r="J165" s="3"/>
      <c r="K165" s="17"/>
    </row>
    <row r="166" spans="1:11" x14ac:dyDescent="0.25">
      <c r="A166" s="4"/>
      <c r="B166" s="10"/>
      <c r="C166" s="10"/>
      <c r="D166" s="10"/>
      <c r="E166" s="10"/>
      <c r="F166" s="10"/>
      <c r="G166" s="10"/>
      <c r="H166" s="10"/>
      <c r="I166" s="18"/>
      <c r="J166" s="10"/>
      <c r="K166" s="19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1"/>
      <c r="J167" s="3"/>
      <c r="K167" s="17"/>
    </row>
    <row r="168" spans="1:11" x14ac:dyDescent="0.25">
      <c r="A168" s="4"/>
      <c r="B168" s="10"/>
      <c r="C168" s="10"/>
      <c r="D168" s="10"/>
      <c r="E168" s="10"/>
      <c r="F168" s="10"/>
      <c r="G168" s="10"/>
      <c r="H168" s="10"/>
      <c r="I168" s="18"/>
      <c r="J168" s="10"/>
      <c r="K168" s="19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1"/>
      <c r="J169" s="3"/>
      <c r="K169" s="17"/>
    </row>
    <row r="170" spans="1:11" x14ac:dyDescent="0.25">
      <c r="A170" s="4"/>
      <c r="B170" s="10"/>
      <c r="C170" s="10"/>
      <c r="D170" s="10"/>
      <c r="E170" s="10"/>
      <c r="F170" s="10"/>
      <c r="G170" s="10"/>
      <c r="H170" s="10"/>
      <c r="I170" s="18"/>
      <c r="J170" s="10"/>
      <c r="K170" s="19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1"/>
      <c r="J171" s="3"/>
      <c r="K171" s="17"/>
    </row>
    <row r="172" spans="1:11" x14ac:dyDescent="0.25">
      <c r="A172" s="4"/>
      <c r="B172" s="10"/>
      <c r="C172" s="10"/>
      <c r="D172" s="10"/>
      <c r="E172" s="10"/>
      <c r="F172" s="10"/>
      <c r="G172" s="10"/>
      <c r="H172" s="10"/>
      <c r="I172" s="18"/>
      <c r="J172" s="10"/>
      <c r="K172" s="19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1"/>
      <c r="J173" s="3"/>
      <c r="K173" s="17"/>
    </row>
    <row r="174" spans="1:11" x14ac:dyDescent="0.25">
      <c r="A174" s="4"/>
      <c r="B174" s="10"/>
      <c r="C174" s="10"/>
      <c r="D174" s="10"/>
      <c r="E174" s="10"/>
      <c r="F174" s="10"/>
      <c r="G174" s="10"/>
      <c r="H174" s="10"/>
      <c r="I174" s="18"/>
      <c r="J174" s="10"/>
      <c r="K174" s="19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1"/>
      <c r="J175" s="3"/>
      <c r="K175" s="17"/>
    </row>
    <row r="176" spans="1:11" x14ac:dyDescent="0.25">
      <c r="A176" s="4"/>
      <c r="B176" s="10"/>
      <c r="C176" s="10"/>
      <c r="D176" s="10"/>
      <c r="E176" s="10"/>
      <c r="F176" s="10"/>
      <c r="G176" s="10"/>
      <c r="H176" s="10"/>
      <c r="I176" s="18"/>
      <c r="J176" s="10"/>
      <c r="K176" s="19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1"/>
      <c r="J177" s="3"/>
      <c r="K177" s="17"/>
    </row>
    <row r="178" spans="1:11" x14ac:dyDescent="0.25">
      <c r="A178" s="4"/>
      <c r="B178" s="10"/>
      <c r="C178" s="10"/>
      <c r="D178" s="10"/>
      <c r="E178" s="10"/>
      <c r="F178" s="10"/>
      <c r="G178" s="10"/>
      <c r="H178" s="10"/>
      <c r="I178" s="18"/>
      <c r="J178" s="10"/>
      <c r="K178" s="19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1"/>
      <c r="J179" s="3"/>
      <c r="K179" s="17"/>
    </row>
    <row r="180" spans="1:11" x14ac:dyDescent="0.25">
      <c r="A180" s="4"/>
      <c r="B180" s="10"/>
      <c r="C180" s="10"/>
      <c r="D180" s="10"/>
      <c r="E180" s="10"/>
      <c r="F180" s="10"/>
      <c r="G180" s="10"/>
      <c r="H180" s="10"/>
      <c r="I180" s="18"/>
      <c r="J180" s="10"/>
      <c r="K180" s="19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1"/>
      <c r="J181" s="3"/>
      <c r="K181" s="17"/>
    </row>
    <row r="182" spans="1:11" x14ac:dyDescent="0.25">
      <c r="A182" s="4"/>
      <c r="B182" s="10"/>
      <c r="C182" s="10"/>
      <c r="D182" s="10"/>
      <c r="E182" s="10"/>
      <c r="F182" s="10"/>
      <c r="G182" s="10"/>
      <c r="H182" s="10"/>
      <c r="I182" s="18"/>
      <c r="J182" s="10"/>
      <c r="K182" s="19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1"/>
      <c r="J183" s="3"/>
      <c r="K183" s="17"/>
    </row>
    <row r="184" spans="1:11" ht="19" thickBot="1" x14ac:dyDescent="0.3">
      <c r="A184" s="7"/>
      <c r="B184" s="21"/>
      <c r="C184" s="21"/>
      <c r="D184" s="21"/>
      <c r="E184" s="21"/>
      <c r="F184" s="21"/>
      <c r="G184" s="10"/>
      <c r="H184" s="10"/>
      <c r="I184" s="18"/>
      <c r="J184" s="10"/>
      <c r="K184" s="19"/>
    </row>
    <row r="185" spans="1:11" x14ac:dyDescent="0.25">
      <c r="G185" s="3"/>
      <c r="H185" s="3"/>
      <c r="I185" s="11"/>
      <c r="J185" s="3"/>
      <c r="K185" s="17"/>
    </row>
    <row r="186" spans="1:11" ht="19" thickBot="1" x14ac:dyDescent="0.3">
      <c r="G186" s="21"/>
      <c r="H186" s="21"/>
      <c r="I186" s="22"/>
      <c r="J186" s="21"/>
      <c r="K186" s="23"/>
    </row>
  </sheetData>
  <conditionalFormatting sqref="A6:A1048576">
    <cfRule type="expression" dxfId="12" priority="4">
      <formula>MOD(ROW(),2)=0</formula>
    </cfRule>
  </conditionalFormatting>
  <conditionalFormatting sqref="A1:K1">
    <cfRule type="expression" dxfId="11" priority="3">
      <formula>MOD(ROW(),2)=0</formula>
    </cfRule>
  </conditionalFormatting>
  <conditionalFormatting sqref="B14:F184 G14:K186">
    <cfRule type="expression" dxfId="10" priority="5">
      <formula>MOD(ROW(),2)=0</formula>
    </cfRule>
  </conditionalFormatting>
  <conditionalFormatting sqref="C2:K2 C3:G3 J3:K3 C4:K4 C5:E5 I5:K5">
    <cfRule type="expression" dxfId="9" priority="2">
      <formula>MOD(ROW(),2)=0</formula>
    </cfRule>
  </conditionalFormatting>
  <conditionalFormatting sqref="C6:K13">
    <cfRule type="expression" dxfId="8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155B-479D-43E2-9562-C35913E178E8}">
  <dimension ref="A1:K186"/>
  <sheetViews>
    <sheetView topLeftCell="B1" zoomScale="150" workbookViewId="0">
      <selection activeCell="F5" sqref="F5"/>
    </sheetView>
  </sheetViews>
  <sheetFormatPr baseColWidth="10" defaultColWidth="10.83203125" defaultRowHeight="18" x14ac:dyDescent="0.25"/>
  <cols>
    <col min="1" max="1" width="15.33203125" style="2" bestFit="1" customWidth="1"/>
    <col min="2" max="2" width="19.1640625" style="2" bestFit="1" customWidth="1"/>
    <col min="3" max="3" width="16.1640625" style="2" bestFit="1" customWidth="1"/>
    <col min="4" max="4" width="11.6640625" style="2" bestFit="1" customWidth="1"/>
    <col min="5" max="5" width="18.6640625" style="2" bestFit="1" customWidth="1"/>
    <col min="6" max="6" width="13.6640625" style="2" bestFit="1" customWidth="1"/>
    <col min="7" max="7" width="13.5" style="2" bestFit="1" customWidth="1"/>
    <col min="8" max="8" width="21.1640625" style="2" bestFit="1" customWidth="1"/>
    <col min="9" max="9" width="20.6640625" style="2" bestFit="1" customWidth="1"/>
    <col min="10" max="10" width="19.6640625" style="2" bestFit="1" customWidth="1"/>
    <col min="11" max="11" width="15.33203125" style="2" bestFit="1" customWidth="1"/>
    <col min="12" max="16384" width="10.83203125" style="2"/>
  </cols>
  <sheetData>
    <row r="1" spans="1:11" ht="19" thickBot="1" x14ac:dyDescent="0.3">
      <c r="A1" s="24" t="s">
        <v>10</v>
      </c>
      <c r="B1" s="24" t="s">
        <v>11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30</v>
      </c>
    </row>
    <row r="2" spans="1:11" x14ac:dyDescent="0.25">
      <c r="A2" s="12">
        <v>1</v>
      </c>
      <c r="B2" s="8" t="s">
        <v>12</v>
      </c>
      <c r="C2" s="9" t="s">
        <v>13</v>
      </c>
      <c r="D2" s="9" t="s">
        <v>1</v>
      </c>
      <c r="E2" s="9" t="s">
        <v>14</v>
      </c>
      <c r="F2" s="9" t="s">
        <v>15</v>
      </c>
      <c r="G2" s="9" t="s">
        <v>0</v>
      </c>
      <c r="H2" s="9" t="s">
        <v>16</v>
      </c>
      <c r="I2" s="9" t="s">
        <v>17</v>
      </c>
      <c r="J2" s="9" t="s">
        <v>19</v>
      </c>
      <c r="K2" s="10"/>
    </row>
    <row r="3" spans="1:11" x14ac:dyDescent="0.25">
      <c r="A3" s="5"/>
      <c r="B3" s="5"/>
      <c r="C3" s="3">
        <v>1</v>
      </c>
      <c r="D3" s="3">
        <v>0</v>
      </c>
      <c r="E3" s="3" t="s">
        <v>18</v>
      </c>
      <c r="F3" s="6">
        <v>2.56</v>
      </c>
      <c r="G3" s="3">
        <v>0.03</v>
      </c>
      <c r="H3" s="26">
        <v>3.5000000000000003E-2</v>
      </c>
      <c r="I3" s="25">
        <v>8500</v>
      </c>
      <c r="J3" s="11" t="s">
        <v>40</v>
      </c>
      <c r="K3" s="3"/>
    </row>
    <row r="4" spans="1:11" x14ac:dyDescent="0.25">
      <c r="A4" s="12">
        <v>2</v>
      </c>
      <c r="B4" s="12" t="s">
        <v>32</v>
      </c>
      <c r="C4" s="13" t="s">
        <v>13</v>
      </c>
      <c r="D4" s="13" t="s">
        <v>1</v>
      </c>
      <c r="E4" s="13" t="s">
        <v>15</v>
      </c>
      <c r="F4" s="13" t="s">
        <v>0</v>
      </c>
      <c r="G4" s="13" t="s">
        <v>16</v>
      </c>
      <c r="H4" s="13" t="s">
        <v>33</v>
      </c>
      <c r="I4" s="13" t="s">
        <v>19</v>
      </c>
      <c r="J4" s="13"/>
      <c r="K4" s="10"/>
    </row>
    <row r="5" spans="1:11" x14ac:dyDescent="0.25">
      <c r="A5" s="5"/>
      <c r="B5" s="5"/>
      <c r="C5" s="3">
        <v>1</v>
      </c>
      <c r="D5" s="3">
        <v>0</v>
      </c>
      <c r="E5" s="3">
        <v>2.88</v>
      </c>
      <c r="F5" s="27">
        <v>0.3</v>
      </c>
      <c r="G5" s="27">
        <v>3.5000000000000003E-2</v>
      </c>
      <c r="H5" s="25">
        <v>4800</v>
      </c>
      <c r="I5" s="3" t="s">
        <v>39</v>
      </c>
      <c r="J5" s="11"/>
      <c r="K5" s="3"/>
    </row>
    <row r="6" spans="1:11" x14ac:dyDescent="0.25">
      <c r="A6" s="20">
        <v>4</v>
      </c>
      <c r="B6" s="12" t="s">
        <v>22</v>
      </c>
      <c r="C6" s="15" t="s">
        <v>13</v>
      </c>
      <c r="D6" s="15" t="s">
        <v>1</v>
      </c>
      <c r="E6" s="15" t="s">
        <v>23</v>
      </c>
      <c r="F6" s="15" t="s">
        <v>24</v>
      </c>
      <c r="G6" s="15" t="s">
        <v>14</v>
      </c>
      <c r="H6" s="15" t="s">
        <v>25</v>
      </c>
      <c r="I6" s="15" t="s">
        <v>26</v>
      </c>
      <c r="J6" s="15" t="s">
        <v>27</v>
      </c>
      <c r="K6" s="15" t="s">
        <v>19</v>
      </c>
    </row>
    <row r="7" spans="1:11" x14ac:dyDescent="0.25">
      <c r="A7" s="4"/>
      <c r="B7" s="5"/>
      <c r="C7" s="3">
        <v>0.85199999999999998</v>
      </c>
      <c r="D7" s="3">
        <v>37000</v>
      </c>
      <c r="E7" s="3">
        <v>0.76</v>
      </c>
      <c r="F7" s="3">
        <v>1</v>
      </c>
      <c r="G7" s="3" t="str">
        <f>E3</f>
        <v>MIL</v>
      </c>
      <c r="H7" s="3">
        <v>0</v>
      </c>
      <c r="I7" s="3">
        <v>0</v>
      </c>
      <c r="J7" s="3">
        <v>0</v>
      </c>
      <c r="K7" s="17" t="s">
        <v>22</v>
      </c>
    </row>
    <row r="8" spans="1:11" x14ac:dyDescent="0.25">
      <c r="A8" s="20">
        <v>5</v>
      </c>
      <c r="B8" s="12" t="s">
        <v>28</v>
      </c>
      <c r="C8" s="15" t="s">
        <v>13</v>
      </c>
      <c r="D8" s="15" t="s">
        <v>1</v>
      </c>
      <c r="E8" s="15" t="s">
        <v>23</v>
      </c>
      <c r="F8" s="15" t="s">
        <v>24</v>
      </c>
      <c r="G8" s="15" t="s">
        <v>14</v>
      </c>
      <c r="H8" s="15" t="s">
        <v>25</v>
      </c>
      <c r="I8" s="15" t="s">
        <v>26</v>
      </c>
      <c r="J8" s="28" t="s">
        <v>27</v>
      </c>
      <c r="K8" s="15" t="s">
        <v>19</v>
      </c>
    </row>
    <row r="9" spans="1:11" x14ac:dyDescent="0.25">
      <c r="A9" s="4"/>
      <c r="B9" s="5"/>
      <c r="C9" s="3">
        <v>0.85199999999999998</v>
      </c>
      <c r="D9" s="3">
        <v>35000</v>
      </c>
      <c r="E9" s="3">
        <f>E7</f>
        <v>0.76</v>
      </c>
      <c r="F9" s="3">
        <v>1</v>
      </c>
      <c r="G9" s="3" t="str">
        <f>E3</f>
        <v>MIL</v>
      </c>
      <c r="H9" s="3">
        <v>1.67</v>
      </c>
      <c r="I9" s="3">
        <v>0</v>
      </c>
      <c r="J9" s="3">
        <v>0</v>
      </c>
      <c r="K9" s="3" t="s">
        <v>28</v>
      </c>
    </row>
    <row r="10" spans="1:11" x14ac:dyDescent="0.25">
      <c r="A10" s="20">
        <v>6</v>
      </c>
      <c r="B10" s="14" t="s">
        <v>29</v>
      </c>
      <c r="C10" s="15" t="s">
        <v>13</v>
      </c>
      <c r="D10" s="15" t="s">
        <v>1</v>
      </c>
      <c r="E10" s="15" t="s">
        <v>23</v>
      </c>
      <c r="F10" s="15" t="s">
        <v>24</v>
      </c>
      <c r="G10" s="15" t="s">
        <v>14</v>
      </c>
      <c r="H10" s="15" t="s">
        <v>25</v>
      </c>
      <c r="I10" s="15" t="s">
        <v>26</v>
      </c>
      <c r="J10" s="15" t="s">
        <v>27</v>
      </c>
      <c r="K10" s="15" t="s">
        <v>19</v>
      </c>
    </row>
    <row r="11" spans="1:11" x14ac:dyDescent="0.25">
      <c r="A11" s="4"/>
      <c r="B11" s="5"/>
      <c r="C11" s="3">
        <v>0.85199999999999998</v>
      </c>
      <c r="D11" s="3">
        <v>37000</v>
      </c>
      <c r="E11" s="3">
        <f>E9</f>
        <v>0.76</v>
      </c>
      <c r="F11" s="3">
        <v>1.5</v>
      </c>
      <c r="G11" s="3" t="str">
        <f>E3</f>
        <v>MIL</v>
      </c>
      <c r="H11" s="3">
        <v>0</v>
      </c>
      <c r="I11" s="3">
        <v>0</v>
      </c>
      <c r="J11" s="3">
        <v>0</v>
      </c>
      <c r="K11" s="3" t="s">
        <v>29</v>
      </c>
    </row>
    <row r="12" spans="1:11" s="16" customFormat="1" x14ac:dyDescent="0.25">
      <c r="A12" s="20">
        <v>7</v>
      </c>
      <c r="B12" s="14" t="s">
        <v>31</v>
      </c>
      <c r="C12" s="15" t="s">
        <v>13</v>
      </c>
      <c r="D12" s="28" t="s">
        <v>1</v>
      </c>
      <c r="E12" s="15" t="s">
        <v>23</v>
      </c>
      <c r="F12" s="15" t="s">
        <v>24</v>
      </c>
      <c r="G12" s="15" t="s">
        <v>14</v>
      </c>
      <c r="H12" s="15" t="s">
        <v>25</v>
      </c>
      <c r="I12" s="15" t="s">
        <v>26</v>
      </c>
      <c r="J12" s="15" t="s">
        <v>27</v>
      </c>
      <c r="K12" s="15" t="s">
        <v>19</v>
      </c>
    </row>
    <row r="13" spans="1:11" x14ac:dyDescent="0.25">
      <c r="A13" s="4"/>
      <c r="B13" s="5"/>
      <c r="C13" s="3">
        <v>0.85199999999999998</v>
      </c>
      <c r="D13" s="3">
        <v>37000</v>
      </c>
      <c r="E13" s="3">
        <f>E11</f>
        <v>0.76</v>
      </c>
      <c r="F13" s="3">
        <v>1</v>
      </c>
      <c r="G13" s="3" t="str">
        <f>E3</f>
        <v>MIL</v>
      </c>
      <c r="H13" s="3">
        <v>0</v>
      </c>
      <c r="I13" s="3">
        <v>0</v>
      </c>
      <c r="J13" s="3">
        <v>0</v>
      </c>
      <c r="K13" s="3" t="s">
        <v>31</v>
      </c>
    </row>
    <row r="14" spans="1:11" s="16" customFormat="1" x14ac:dyDescent="0.25">
      <c r="A14" s="20"/>
      <c r="B14" s="10"/>
      <c r="C14" s="10"/>
      <c r="D14" s="10"/>
      <c r="E14" s="10"/>
      <c r="F14" s="10"/>
      <c r="G14" s="10"/>
      <c r="H14" s="10"/>
      <c r="I14" s="18"/>
      <c r="J14" s="10"/>
      <c r="K14" s="19"/>
    </row>
    <row r="15" spans="1:11" x14ac:dyDescent="0.25">
      <c r="A15" s="4"/>
      <c r="B15" s="3"/>
      <c r="C15" s="3"/>
      <c r="D15" s="3"/>
      <c r="E15" s="3"/>
      <c r="F15" s="3"/>
      <c r="G15" s="3"/>
      <c r="H15" s="3"/>
      <c r="I15" s="11"/>
      <c r="J15" s="3"/>
      <c r="K15" s="17"/>
    </row>
    <row r="16" spans="1:11" s="16" customFormat="1" x14ac:dyDescent="0.25">
      <c r="A16" s="20"/>
      <c r="B16" s="10"/>
      <c r="C16" s="10"/>
      <c r="D16" s="10"/>
      <c r="E16" s="10"/>
      <c r="F16" s="10"/>
      <c r="G16" s="10"/>
      <c r="H16" s="10"/>
      <c r="I16" s="18"/>
      <c r="J16" s="10"/>
      <c r="K16" s="19"/>
    </row>
    <row r="17" spans="1:11" x14ac:dyDescent="0.25">
      <c r="A17" s="4"/>
      <c r="B17" s="3"/>
      <c r="C17" s="3"/>
      <c r="D17" s="3"/>
      <c r="E17" s="3"/>
      <c r="F17" s="3"/>
      <c r="G17" s="3"/>
      <c r="H17" s="3"/>
      <c r="I17" s="11"/>
      <c r="J17" s="3"/>
      <c r="K17" s="17"/>
    </row>
    <row r="18" spans="1:11" s="16" customFormat="1" x14ac:dyDescent="0.25">
      <c r="A18" s="20"/>
      <c r="B18" s="10"/>
      <c r="C18" s="10"/>
      <c r="D18" s="10"/>
      <c r="E18" s="10"/>
      <c r="F18" s="10"/>
      <c r="G18" s="10"/>
      <c r="H18" s="10"/>
      <c r="I18" s="18"/>
      <c r="J18" s="10"/>
      <c r="K18" s="19"/>
    </row>
    <row r="19" spans="1:11" x14ac:dyDescent="0.25">
      <c r="A19" s="4"/>
      <c r="B19" s="3"/>
      <c r="C19" s="3"/>
      <c r="D19" s="3"/>
      <c r="E19" s="3"/>
      <c r="F19" s="3"/>
      <c r="G19" s="3"/>
      <c r="H19" s="3"/>
      <c r="I19" s="11"/>
      <c r="J19" s="3"/>
      <c r="K19" s="17"/>
    </row>
    <row r="20" spans="1:11" x14ac:dyDescent="0.25">
      <c r="A20" s="20"/>
      <c r="B20" s="10"/>
      <c r="C20" s="10"/>
      <c r="D20" s="10"/>
      <c r="E20" s="10"/>
      <c r="F20" s="10"/>
      <c r="G20" s="10"/>
      <c r="H20" s="10"/>
      <c r="I20" s="18"/>
      <c r="J20" s="10"/>
      <c r="K20" s="19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1"/>
      <c r="J21" s="3"/>
      <c r="K21" s="17"/>
    </row>
    <row r="22" spans="1:11" x14ac:dyDescent="0.25">
      <c r="A22" s="20"/>
      <c r="B22" s="10"/>
      <c r="C22" s="10"/>
      <c r="D22" s="10"/>
      <c r="E22" s="10"/>
      <c r="F22" s="10"/>
      <c r="G22" s="10"/>
      <c r="H22" s="10"/>
      <c r="I22" s="18"/>
      <c r="J22" s="10"/>
      <c r="K22" s="19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1"/>
      <c r="J23" s="3"/>
      <c r="K23" s="17"/>
    </row>
    <row r="24" spans="1:11" x14ac:dyDescent="0.25">
      <c r="A24" s="20"/>
      <c r="B24" s="10"/>
      <c r="C24" s="10"/>
      <c r="D24" s="10"/>
      <c r="E24" s="10"/>
      <c r="F24" s="10"/>
      <c r="G24" s="10"/>
      <c r="H24" s="10"/>
      <c r="I24" s="18"/>
      <c r="J24" s="10"/>
      <c r="K24" s="19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1"/>
      <c r="J25" s="3"/>
      <c r="K25" s="17"/>
    </row>
    <row r="26" spans="1:11" x14ac:dyDescent="0.25">
      <c r="A26" s="20"/>
      <c r="B26" s="10"/>
      <c r="C26" s="10"/>
      <c r="D26" s="10"/>
      <c r="E26" s="10"/>
      <c r="F26" s="10"/>
      <c r="G26" s="10"/>
      <c r="H26" s="10"/>
      <c r="I26" s="18"/>
      <c r="J26" s="10"/>
      <c r="K26" s="19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1"/>
      <c r="J27" s="3"/>
      <c r="K27" s="17"/>
    </row>
    <row r="28" spans="1:11" x14ac:dyDescent="0.25">
      <c r="A28" s="20"/>
      <c r="B28" s="10"/>
      <c r="C28" s="10"/>
      <c r="D28" s="10"/>
      <c r="E28" s="10"/>
      <c r="F28" s="10"/>
      <c r="G28" s="10"/>
      <c r="H28" s="10"/>
      <c r="I28" s="18"/>
      <c r="J28" s="10"/>
      <c r="K28" s="19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1"/>
      <c r="J29" s="3"/>
      <c r="K29" s="17"/>
    </row>
    <row r="30" spans="1:11" x14ac:dyDescent="0.25">
      <c r="A30" s="20"/>
      <c r="B30" s="10"/>
      <c r="C30" s="10"/>
      <c r="D30" s="10"/>
      <c r="E30" s="10"/>
      <c r="F30" s="10"/>
      <c r="G30" s="10"/>
      <c r="H30" s="10"/>
      <c r="I30" s="18"/>
      <c r="J30" s="10"/>
      <c r="K30" s="19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1"/>
      <c r="J31" s="3"/>
      <c r="K31" s="17"/>
    </row>
    <row r="32" spans="1:11" x14ac:dyDescent="0.25">
      <c r="A32" s="20"/>
      <c r="B32" s="10"/>
      <c r="C32" s="10"/>
      <c r="D32" s="10"/>
      <c r="E32" s="10"/>
      <c r="F32" s="10"/>
      <c r="G32" s="10"/>
      <c r="H32" s="10"/>
      <c r="I32" s="18"/>
      <c r="J32" s="10"/>
      <c r="K32" s="19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1"/>
      <c r="J33" s="3"/>
      <c r="K33" s="17"/>
    </row>
    <row r="34" spans="1:11" x14ac:dyDescent="0.25">
      <c r="A34" s="20"/>
      <c r="B34" s="10"/>
      <c r="C34" s="10"/>
      <c r="D34" s="10"/>
      <c r="E34" s="10"/>
      <c r="F34" s="10"/>
      <c r="G34" s="10"/>
      <c r="H34" s="10"/>
      <c r="I34" s="18"/>
      <c r="J34" s="10"/>
      <c r="K34" s="19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1"/>
      <c r="J35" s="3"/>
      <c r="K35" s="17"/>
    </row>
    <row r="36" spans="1:11" x14ac:dyDescent="0.25">
      <c r="A36" s="20"/>
      <c r="B36" s="10"/>
      <c r="C36" s="10"/>
      <c r="D36" s="10"/>
      <c r="E36" s="10"/>
      <c r="F36" s="10"/>
      <c r="G36" s="10"/>
      <c r="H36" s="10"/>
      <c r="I36" s="18"/>
      <c r="J36" s="10"/>
      <c r="K36" s="19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1"/>
      <c r="J37" s="3"/>
      <c r="K37" s="17"/>
    </row>
    <row r="38" spans="1:11" x14ac:dyDescent="0.25">
      <c r="A38" s="20"/>
      <c r="B38" s="10"/>
      <c r="C38" s="10"/>
      <c r="D38" s="10"/>
      <c r="E38" s="10"/>
      <c r="F38" s="10"/>
      <c r="G38" s="10"/>
      <c r="H38" s="10"/>
      <c r="I38" s="18"/>
      <c r="J38" s="10"/>
      <c r="K38" s="19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1"/>
      <c r="J39" s="3"/>
      <c r="K39" s="17"/>
    </row>
    <row r="40" spans="1:11" x14ac:dyDescent="0.25">
      <c r="A40" s="20"/>
      <c r="B40" s="10"/>
      <c r="C40" s="10"/>
      <c r="D40" s="10"/>
      <c r="E40" s="10"/>
      <c r="F40" s="10"/>
      <c r="G40" s="10"/>
      <c r="H40" s="10"/>
      <c r="I40" s="18"/>
      <c r="J40" s="10"/>
      <c r="K40" s="19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1"/>
      <c r="J41" s="3"/>
      <c r="K41" s="17"/>
    </row>
    <row r="42" spans="1:11" x14ac:dyDescent="0.25">
      <c r="A42" s="20"/>
      <c r="B42" s="10"/>
      <c r="C42" s="10"/>
      <c r="D42" s="10"/>
      <c r="E42" s="10"/>
      <c r="F42" s="10"/>
      <c r="G42" s="10"/>
      <c r="H42" s="10"/>
      <c r="I42" s="18"/>
      <c r="J42" s="10"/>
      <c r="K42" s="19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1"/>
      <c r="J43" s="3"/>
      <c r="K43" s="17"/>
    </row>
    <row r="44" spans="1:11" x14ac:dyDescent="0.25">
      <c r="A44" s="20"/>
      <c r="B44" s="10"/>
      <c r="C44" s="10"/>
      <c r="D44" s="10"/>
      <c r="E44" s="10"/>
      <c r="F44" s="10"/>
      <c r="G44" s="10"/>
      <c r="H44" s="10"/>
      <c r="I44" s="18"/>
      <c r="J44" s="10"/>
      <c r="K44" s="19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1"/>
      <c r="J45" s="3"/>
      <c r="K45" s="17"/>
    </row>
    <row r="46" spans="1:11" x14ac:dyDescent="0.25">
      <c r="A46" s="20"/>
      <c r="B46" s="10"/>
      <c r="C46" s="10"/>
      <c r="D46" s="10"/>
      <c r="E46" s="10"/>
      <c r="F46" s="10"/>
      <c r="G46" s="10"/>
      <c r="H46" s="10"/>
      <c r="I46" s="18"/>
      <c r="J46" s="10"/>
      <c r="K46" s="19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1"/>
      <c r="J47" s="3"/>
      <c r="K47" s="17"/>
    </row>
    <row r="48" spans="1:11" x14ac:dyDescent="0.25">
      <c r="A48" s="20"/>
      <c r="B48" s="10"/>
      <c r="C48" s="10"/>
      <c r="D48" s="10"/>
      <c r="E48" s="10"/>
      <c r="F48" s="10"/>
      <c r="G48" s="10"/>
      <c r="H48" s="10"/>
      <c r="I48" s="18"/>
      <c r="J48" s="10"/>
      <c r="K48" s="19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1"/>
      <c r="J49" s="3"/>
      <c r="K49" s="17"/>
    </row>
    <row r="50" spans="1:11" x14ac:dyDescent="0.25">
      <c r="A50" s="20"/>
      <c r="B50" s="10"/>
      <c r="C50" s="10"/>
      <c r="D50" s="10"/>
      <c r="E50" s="10"/>
      <c r="F50" s="10"/>
      <c r="G50" s="10"/>
      <c r="H50" s="10"/>
      <c r="I50" s="18"/>
      <c r="J50" s="10"/>
      <c r="K50" s="19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1"/>
      <c r="J51" s="3"/>
      <c r="K51" s="17"/>
    </row>
    <row r="52" spans="1:11" x14ac:dyDescent="0.25">
      <c r="A52" s="20"/>
      <c r="B52" s="10"/>
      <c r="C52" s="10"/>
      <c r="D52" s="10"/>
      <c r="E52" s="10"/>
      <c r="F52" s="10"/>
      <c r="G52" s="10"/>
      <c r="H52" s="10"/>
      <c r="I52" s="18"/>
      <c r="J52" s="10"/>
      <c r="K52" s="19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1"/>
      <c r="J53" s="3"/>
      <c r="K53" s="17"/>
    </row>
    <row r="54" spans="1:11" x14ac:dyDescent="0.25">
      <c r="A54" s="20"/>
      <c r="B54" s="10"/>
      <c r="C54" s="10"/>
      <c r="D54" s="10"/>
      <c r="E54" s="10"/>
      <c r="F54" s="10"/>
      <c r="G54" s="10"/>
      <c r="H54" s="10"/>
      <c r="I54" s="18"/>
      <c r="J54" s="10"/>
      <c r="K54" s="19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1"/>
      <c r="J55" s="3"/>
      <c r="K55" s="17"/>
    </row>
    <row r="56" spans="1:11" x14ac:dyDescent="0.25">
      <c r="A56" s="20"/>
      <c r="B56" s="10"/>
      <c r="C56" s="10"/>
      <c r="D56" s="10"/>
      <c r="E56" s="10"/>
      <c r="F56" s="10"/>
      <c r="G56" s="10"/>
      <c r="H56" s="10"/>
      <c r="I56" s="18"/>
      <c r="J56" s="10"/>
      <c r="K56" s="19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1"/>
      <c r="J57" s="3"/>
      <c r="K57" s="17"/>
    </row>
    <row r="58" spans="1:11" x14ac:dyDescent="0.25">
      <c r="A58" s="20"/>
      <c r="B58" s="10"/>
      <c r="C58" s="10"/>
      <c r="D58" s="10"/>
      <c r="E58" s="10"/>
      <c r="F58" s="10"/>
      <c r="G58" s="10"/>
      <c r="H58" s="10"/>
      <c r="I58" s="18"/>
      <c r="J58" s="10"/>
      <c r="K58" s="19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1"/>
      <c r="J59" s="3"/>
      <c r="K59" s="17"/>
    </row>
    <row r="60" spans="1:11" x14ac:dyDescent="0.25">
      <c r="A60" s="20"/>
      <c r="B60" s="10"/>
      <c r="C60" s="10"/>
      <c r="D60" s="10"/>
      <c r="E60" s="10"/>
      <c r="F60" s="10"/>
      <c r="G60" s="10"/>
      <c r="H60" s="10"/>
      <c r="I60" s="18"/>
      <c r="J60" s="10"/>
      <c r="K60" s="19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1"/>
      <c r="J61" s="3"/>
      <c r="K61" s="17"/>
    </row>
    <row r="62" spans="1:11" x14ac:dyDescent="0.25">
      <c r="A62" s="20"/>
      <c r="B62" s="10"/>
      <c r="C62" s="10"/>
      <c r="D62" s="10"/>
      <c r="E62" s="10"/>
      <c r="F62" s="10"/>
      <c r="G62" s="10"/>
      <c r="H62" s="10"/>
      <c r="I62" s="18"/>
      <c r="J62" s="10"/>
      <c r="K62" s="19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1"/>
      <c r="J63" s="3"/>
      <c r="K63" s="17"/>
    </row>
    <row r="64" spans="1:11" x14ac:dyDescent="0.25">
      <c r="A64" s="20"/>
      <c r="B64" s="10"/>
      <c r="C64" s="10"/>
      <c r="D64" s="10"/>
      <c r="E64" s="10"/>
      <c r="F64" s="10"/>
      <c r="G64" s="10"/>
      <c r="H64" s="10"/>
      <c r="I64" s="18"/>
      <c r="J64" s="10"/>
      <c r="K64" s="19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1"/>
      <c r="J65" s="3"/>
      <c r="K65" s="17"/>
    </row>
    <row r="66" spans="1:11" x14ac:dyDescent="0.25">
      <c r="A66" s="20"/>
      <c r="B66" s="10"/>
      <c r="C66" s="10"/>
      <c r="D66" s="10"/>
      <c r="E66" s="10"/>
      <c r="F66" s="10"/>
      <c r="G66" s="10"/>
      <c r="H66" s="10"/>
      <c r="I66" s="18"/>
      <c r="J66" s="10"/>
      <c r="K66" s="19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1"/>
      <c r="J67" s="3"/>
      <c r="K67" s="17"/>
    </row>
    <row r="68" spans="1:11" x14ac:dyDescent="0.25">
      <c r="A68" s="20"/>
      <c r="B68" s="10"/>
      <c r="C68" s="10"/>
      <c r="D68" s="10"/>
      <c r="E68" s="10"/>
      <c r="F68" s="10"/>
      <c r="G68" s="10"/>
      <c r="H68" s="10"/>
      <c r="I68" s="18"/>
      <c r="J68" s="10"/>
      <c r="K68" s="19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1"/>
      <c r="J69" s="3"/>
      <c r="K69" s="17"/>
    </row>
    <row r="70" spans="1:11" x14ac:dyDescent="0.25">
      <c r="A70" s="20"/>
      <c r="B70" s="10"/>
      <c r="C70" s="10"/>
      <c r="D70" s="10"/>
      <c r="E70" s="10"/>
      <c r="F70" s="10"/>
      <c r="G70" s="10"/>
      <c r="H70" s="10"/>
      <c r="I70" s="18"/>
      <c r="J70" s="10"/>
      <c r="K70" s="19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1"/>
      <c r="J71" s="3"/>
      <c r="K71" s="17"/>
    </row>
    <row r="72" spans="1:11" x14ac:dyDescent="0.25">
      <c r="A72" s="20"/>
      <c r="B72" s="10"/>
      <c r="C72" s="10"/>
      <c r="D72" s="10"/>
      <c r="E72" s="10"/>
      <c r="F72" s="10"/>
      <c r="G72" s="10"/>
      <c r="H72" s="10"/>
      <c r="I72" s="18"/>
      <c r="J72" s="10"/>
      <c r="K72" s="19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1"/>
      <c r="J73" s="3"/>
      <c r="K73" s="17"/>
    </row>
    <row r="74" spans="1:11" x14ac:dyDescent="0.25">
      <c r="A74" s="20"/>
      <c r="B74" s="10"/>
      <c r="C74" s="10"/>
      <c r="D74" s="10"/>
      <c r="E74" s="10"/>
      <c r="F74" s="10"/>
      <c r="G74" s="10"/>
      <c r="H74" s="10"/>
      <c r="I74" s="18"/>
      <c r="J74" s="10"/>
      <c r="K74" s="19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1"/>
      <c r="J75" s="3"/>
      <c r="K75" s="17"/>
    </row>
    <row r="76" spans="1:11" x14ac:dyDescent="0.25">
      <c r="A76" s="20"/>
      <c r="B76" s="10"/>
      <c r="C76" s="10"/>
      <c r="D76" s="10"/>
      <c r="E76" s="10"/>
      <c r="F76" s="10"/>
      <c r="G76" s="10"/>
      <c r="H76" s="10"/>
      <c r="I76" s="18"/>
      <c r="J76" s="10"/>
      <c r="K76" s="19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1"/>
      <c r="J77" s="3"/>
      <c r="K77" s="17"/>
    </row>
    <row r="78" spans="1:11" x14ac:dyDescent="0.25">
      <c r="A78" s="20"/>
      <c r="B78" s="10"/>
      <c r="C78" s="10"/>
      <c r="D78" s="10"/>
      <c r="E78" s="10"/>
      <c r="F78" s="10"/>
      <c r="G78" s="10"/>
      <c r="H78" s="10"/>
      <c r="I78" s="18"/>
      <c r="J78" s="10"/>
      <c r="K78" s="19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1"/>
      <c r="J79" s="3"/>
      <c r="K79" s="17"/>
    </row>
    <row r="80" spans="1:11" x14ac:dyDescent="0.25">
      <c r="A80" s="20"/>
      <c r="B80" s="10"/>
      <c r="C80" s="10"/>
      <c r="D80" s="10"/>
      <c r="E80" s="10"/>
      <c r="F80" s="10"/>
      <c r="G80" s="10"/>
      <c r="H80" s="10"/>
      <c r="I80" s="18"/>
      <c r="J80" s="10"/>
      <c r="K80" s="19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1"/>
      <c r="J81" s="3"/>
      <c r="K81" s="17"/>
    </row>
    <row r="82" spans="1:11" x14ac:dyDescent="0.25">
      <c r="A82" s="20"/>
      <c r="B82" s="10"/>
      <c r="C82" s="10"/>
      <c r="D82" s="10"/>
      <c r="E82" s="10"/>
      <c r="F82" s="10"/>
      <c r="G82" s="10"/>
      <c r="H82" s="10"/>
      <c r="I82" s="18"/>
      <c r="J82" s="10"/>
      <c r="K82" s="19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1"/>
      <c r="J83" s="3"/>
      <c r="K83" s="17"/>
    </row>
    <row r="84" spans="1:11" x14ac:dyDescent="0.25">
      <c r="A84" s="20"/>
      <c r="B84" s="10"/>
      <c r="C84" s="10"/>
      <c r="D84" s="10"/>
      <c r="E84" s="10"/>
      <c r="F84" s="10"/>
      <c r="G84" s="10"/>
      <c r="H84" s="10"/>
      <c r="I84" s="18"/>
      <c r="J84" s="10"/>
      <c r="K84" s="19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1"/>
      <c r="J85" s="3"/>
      <c r="K85" s="17"/>
    </row>
    <row r="86" spans="1:11" x14ac:dyDescent="0.25">
      <c r="A86" s="20"/>
      <c r="B86" s="10"/>
      <c r="C86" s="10"/>
      <c r="D86" s="10"/>
      <c r="E86" s="10"/>
      <c r="F86" s="10"/>
      <c r="G86" s="10"/>
      <c r="H86" s="10"/>
      <c r="I86" s="18"/>
      <c r="J86" s="10"/>
      <c r="K86" s="19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1"/>
      <c r="J87" s="3"/>
      <c r="K87" s="17"/>
    </row>
    <row r="88" spans="1:11" x14ac:dyDescent="0.25">
      <c r="A88" s="20"/>
      <c r="B88" s="10"/>
      <c r="C88" s="10"/>
      <c r="D88" s="10"/>
      <c r="E88" s="10"/>
      <c r="F88" s="10"/>
      <c r="G88" s="10"/>
      <c r="H88" s="10"/>
      <c r="I88" s="18"/>
      <c r="J88" s="10"/>
      <c r="K88" s="19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1"/>
      <c r="J89" s="3"/>
      <c r="K89" s="17"/>
    </row>
    <row r="90" spans="1:11" x14ac:dyDescent="0.25">
      <c r="A90" s="20"/>
      <c r="B90" s="10"/>
      <c r="C90" s="10"/>
      <c r="D90" s="10"/>
      <c r="E90" s="10"/>
      <c r="F90" s="10"/>
      <c r="G90" s="10"/>
      <c r="H90" s="10"/>
      <c r="I90" s="18"/>
      <c r="J90" s="10"/>
      <c r="K90" s="19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1"/>
      <c r="J91" s="3"/>
      <c r="K91" s="17"/>
    </row>
    <row r="92" spans="1:11" x14ac:dyDescent="0.25">
      <c r="A92" s="20"/>
      <c r="B92" s="10"/>
      <c r="C92" s="10"/>
      <c r="D92" s="10"/>
      <c r="E92" s="10"/>
      <c r="F92" s="10"/>
      <c r="G92" s="10"/>
      <c r="H92" s="10"/>
      <c r="I92" s="18"/>
      <c r="J92" s="10"/>
      <c r="K92" s="19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1"/>
      <c r="J93" s="3"/>
      <c r="K93" s="17"/>
    </row>
    <row r="94" spans="1:11" x14ac:dyDescent="0.25">
      <c r="A94" s="20"/>
      <c r="B94" s="10"/>
      <c r="C94" s="10"/>
      <c r="D94" s="10"/>
      <c r="E94" s="10"/>
      <c r="F94" s="10"/>
      <c r="G94" s="10"/>
      <c r="H94" s="10"/>
      <c r="I94" s="18"/>
      <c r="J94" s="10"/>
      <c r="K94" s="19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1"/>
      <c r="J95" s="3"/>
      <c r="K95" s="17"/>
    </row>
    <row r="96" spans="1:11" x14ac:dyDescent="0.25">
      <c r="A96" s="20"/>
      <c r="B96" s="10"/>
      <c r="C96" s="10"/>
      <c r="D96" s="10"/>
      <c r="E96" s="10"/>
      <c r="F96" s="10"/>
      <c r="G96" s="10"/>
      <c r="H96" s="10"/>
      <c r="I96" s="18"/>
      <c r="J96" s="10"/>
      <c r="K96" s="19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1"/>
      <c r="J97" s="3"/>
      <c r="K97" s="17"/>
    </row>
    <row r="98" spans="1:11" x14ac:dyDescent="0.25">
      <c r="A98" s="20"/>
      <c r="B98" s="10"/>
      <c r="C98" s="10"/>
      <c r="D98" s="10"/>
      <c r="E98" s="10"/>
      <c r="F98" s="10"/>
      <c r="G98" s="10"/>
      <c r="H98" s="10"/>
      <c r="I98" s="18"/>
      <c r="J98" s="10"/>
      <c r="K98" s="19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1"/>
      <c r="J99" s="3"/>
      <c r="K99" s="17"/>
    </row>
    <row r="100" spans="1:11" x14ac:dyDescent="0.25">
      <c r="A100" s="20"/>
      <c r="B100" s="10"/>
      <c r="C100" s="10"/>
      <c r="D100" s="10"/>
      <c r="E100" s="10"/>
      <c r="F100" s="10"/>
      <c r="G100" s="10"/>
      <c r="H100" s="10"/>
      <c r="I100" s="18"/>
      <c r="J100" s="10"/>
      <c r="K100" s="19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1"/>
      <c r="J101" s="3"/>
      <c r="K101" s="17"/>
    </row>
    <row r="102" spans="1:11" x14ac:dyDescent="0.25">
      <c r="A102" s="20"/>
      <c r="B102" s="10"/>
      <c r="C102" s="10"/>
      <c r="D102" s="10"/>
      <c r="E102" s="10"/>
      <c r="F102" s="10"/>
      <c r="G102" s="10"/>
      <c r="H102" s="10"/>
      <c r="I102" s="18"/>
      <c r="J102" s="10"/>
      <c r="K102" s="19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1"/>
      <c r="J103" s="3"/>
      <c r="K103" s="17"/>
    </row>
    <row r="104" spans="1:11" x14ac:dyDescent="0.25">
      <c r="A104" s="20"/>
      <c r="B104" s="10"/>
      <c r="C104" s="10"/>
      <c r="D104" s="10"/>
      <c r="E104" s="10"/>
      <c r="F104" s="10"/>
      <c r="G104" s="10"/>
      <c r="H104" s="10"/>
      <c r="I104" s="18"/>
      <c r="J104" s="10"/>
      <c r="K104" s="19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1"/>
      <c r="J105" s="3"/>
      <c r="K105" s="17"/>
    </row>
    <row r="106" spans="1:11" x14ac:dyDescent="0.25">
      <c r="A106" s="20"/>
      <c r="B106" s="10"/>
      <c r="C106" s="10"/>
      <c r="D106" s="10"/>
      <c r="E106" s="10"/>
      <c r="F106" s="10"/>
      <c r="G106" s="10"/>
      <c r="H106" s="10"/>
      <c r="I106" s="18"/>
      <c r="J106" s="10"/>
      <c r="K106" s="19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1"/>
      <c r="J107" s="3"/>
      <c r="K107" s="17"/>
    </row>
    <row r="108" spans="1:11" x14ac:dyDescent="0.25">
      <c r="A108" s="20"/>
      <c r="B108" s="10"/>
      <c r="C108" s="10"/>
      <c r="D108" s="10"/>
      <c r="E108" s="10"/>
      <c r="F108" s="10"/>
      <c r="G108" s="10"/>
      <c r="H108" s="10"/>
      <c r="I108" s="18"/>
      <c r="J108" s="10"/>
      <c r="K108" s="19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1"/>
      <c r="J109" s="3"/>
      <c r="K109" s="17"/>
    </row>
    <row r="110" spans="1:11" x14ac:dyDescent="0.25">
      <c r="A110" s="4"/>
      <c r="B110" s="10"/>
      <c r="C110" s="10"/>
      <c r="D110" s="10"/>
      <c r="E110" s="10"/>
      <c r="F110" s="10"/>
      <c r="G110" s="10"/>
      <c r="H110" s="10"/>
      <c r="I110" s="18"/>
      <c r="J110" s="10"/>
      <c r="K110" s="19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1"/>
      <c r="J111" s="3"/>
      <c r="K111" s="17"/>
    </row>
    <row r="112" spans="1:11" x14ac:dyDescent="0.25">
      <c r="A112" s="4"/>
      <c r="B112" s="10"/>
      <c r="C112" s="10"/>
      <c r="D112" s="10"/>
      <c r="E112" s="10"/>
      <c r="F112" s="10"/>
      <c r="G112" s="10"/>
      <c r="H112" s="10"/>
      <c r="I112" s="18"/>
      <c r="J112" s="10"/>
      <c r="K112" s="19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1"/>
      <c r="J113" s="3"/>
      <c r="K113" s="17"/>
    </row>
    <row r="114" spans="1:11" x14ac:dyDescent="0.25">
      <c r="A114" s="4"/>
      <c r="B114" s="10"/>
      <c r="C114" s="10"/>
      <c r="D114" s="10"/>
      <c r="E114" s="10"/>
      <c r="F114" s="10"/>
      <c r="G114" s="10"/>
      <c r="H114" s="10"/>
      <c r="I114" s="18"/>
      <c r="J114" s="10"/>
      <c r="K114" s="19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1"/>
      <c r="J115" s="3"/>
      <c r="K115" s="17"/>
    </row>
    <row r="116" spans="1:11" x14ac:dyDescent="0.25">
      <c r="A116" s="4"/>
      <c r="B116" s="10"/>
      <c r="C116" s="10"/>
      <c r="D116" s="10"/>
      <c r="E116" s="10"/>
      <c r="F116" s="10"/>
      <c r="G116" s="10"/>
      <c r="H116" s="10"/>
      <c r="I116" s="18"/>
      <c r="J116" s="10"/>
      <c r="K116" s="19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1"/>
      <c r="J117" s="3"/>
      <c r="K117" s="17"/>
    </row>
    <row r="118" spans="1:11" x14ac:dyDescent="0.25">
      <c r="A118" s="4"/>
      <c r="B118" s="10"/>
      <c r="C118" s="10"/>
      <c r="D118" s="10"/>
      <c r="E118" s="10"/>
      <c r="F118" s="10"/>
      <c r="G118" s="10"/>
      <c r="H118" s="10"/>
      <c r="I118" s="18"/>
      <c r="J118" s="10"/>
      <c r="K118" s="19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1"/>
      <c r="J119" s="3"/>
      <c r="K119" s="17"/>
    </row>
    <row r="120" spans="1:11" x14ac:dyDescent="0.25">
      <c r="A120" s="4"/>
      <c r="B120" s="10"/>
      <c r="C120" s="10"/>
      <c r="D120" s="10"/>
      <c r="E120" s="10"/>
      <c r="F120" s="10"/>
      <c r="G120" s="10"/>
      <c r="H120" s="10"/>
      <c r="I120" s="18"/>
      <c r="J120" s="10"/>
      <c r="K120" s="19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1"/>
      <c r="J121" s="3"/>
      <c r="K121" s="17"/>
    </row>
    <row r="122" spans="1:11" x14ac:dyDescent="0.25">
      <c r="A122" s="4"/>
      <c r="B122" s="10"/>
      <c r="C122" s="10"/>
      <c r="D122" s="10"/>
      <c r="E122" s="10"/>
      <c r="F122" s="10"/>
      <c r="G122" s="10"/>
      <c r="H122" s="10"/>
      <c r="I122" s="18"/>
      <c r="J122" s="10"/>
      <c r="K122" s="19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1"/>
      <c r="J123" s="3"/>
      <c r="K123" s="17"/>
    </row>
    <row r="124" spans="1:11" x14ac:dyDescent="0.25">
      <c r="A124" s="4"/>
      <c r="B124" s="10"/>
      <c r="C124" s="10"/>
      <c r="D124" s="10"/>
      <c r="E124" s="10"/>
      <c r="F124" s="10"/>
      <c r="G124" s="10"/>
      <c r="H124" s="10"/>
      <c r="I124" s="18"/>
      <c r="J124" s="10"/>
      <c r="K124" s="19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1"/>
      <c r="J125" s="3"/>
      <c r="K125" s="17"/>
    </row>
    <row r="126" spans="1:11" x14ac:dyDescent="0.25">
      <c r="A126" s="4"/>
      <c r="B126" s="10"/>
      <c r="C126" s="10"/>
      <c r="D126" s="10"/>
      <c r="E126" s="10"/>
      <c r="F126" s="10"/>
      <c r="G126" s="10"/>
      <c r="H126" s="10"/>
      <c r="I126" s="18"/>
      <c r="J126" s="10"/>
      <c r="K126" s="19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1"/>
      <c r="J127" s="3"/>
      <c r="K127" s="17"/>
    </row>
    <row r="128" spans="1:11" x14ac:dyDescent="0.25">
      <c r="A128" s="4"/>
      <c r="B128" s="10"/>
      <c r="C128" s="10"/>
      <c r="D128" s="10"/>
      <c r="E128" s="10"/>
      <c r="F128" s="10"/>
      <c r="G128" s="10"/>
      <c r="H128" s="10"/>
      <c r="I128" s="18"/>
      <c r="J128" s="10"/>
      <c r="K128" s="19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1"/>
      <c r="J129" s="3"/>
      <c r="K129" s="17"/>
    </row>
    <row r="130" spans="1:11" x14ac:dyDescent="0.25">
      <c r="A130" s="4"/>
      <c r="B130" s="10"/>
      <c r="C130" s="10"/>
      <c r="D130" s="10"/>
      <c r="E130" s="10"/>
      <c r="F130" s="10"/>
      <c r="G130" s="10"/>
      <c r="H130" s="10"/>
      <c r="I130" s="18"/>
      <c r="J130" s="10"/>
      <c r="K130" s="19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1"/>
      <c r="J131" s="3"/>
      <c r="K131" s="17"/>
    </row>
    <row r="132" spans="1:11" x14ac:dyDescent="0.25">
      <c r="A132" s="4"/>
      <c r="B132" s="10"/>
      <c r="C132" s="10"/>
      <c r="D132" s="10"/>
      <c r="E132" s="10"/>
      <c r="F132" s="10"/>
      <c r="G132" s="10"/>
      <c r="H132" s="10"/>
      <c r="I132" s="18"/>
      <c r="J132" s="10"/>
      <c r="K132" s="19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1"/>
      <c r="J133" s="3"/>
      <c r="K133" s="17"/>
    </row>
    <row r="134" spans="1:11" x14ac:dyDescent="0.25">
      <c r="A134" s="4"/>
      <c r="B134" s="10"/>
      <c r="C134" s="10"/>
      <c r="D134" s="10"/>
      <c r="E134" s="10"/>
      <c r="F134" s="10"/>
      <c r="G134" s="10"/>
      <c r="H134" s="10"/>
      <c r="I134" s="18"/>
      <c r="J134" s="10"/>
      <c r="K134" s="19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1"/>
      <c r="J135" s="3"/>
      <c r="K135" s="17"/>
    </row>
    <row r="136" spans="1:11" x14ac:dyDescent="0.25">
      <c r="A136" s="4"/>
      <c r="B136" s="10"/>
      <c r="C136" s="10"/>
      <c r="D136" s="10"/>
      <c r="E136" s="10"/>
      <c r="F136" s="10"/>
      <c r="G136" s="10"/>
      <c r="H136" s="10"/>
      <c r="I136" s="18"/>
      <c r="J136" s="10"/>
      <c r="K136" s="19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1"/>
      <c r="J137" s="3"/>
      <c r="K137" s="17"/>
    </row>
    <row r="138" spans="1:11" x14ac:dyDescent="0.25">
      <c r="A138" s="4"/>
      <c r="B138" s="10"/>
      <c r="C138" s="10"/>
      <c r="D138" s="10"/>
      <c r="E138" s="10"/>
      <c r="F138" s="10"/>
      <c r="G138" s="10"/>
      <c r="H138" s="10"/>
      <c r="I138" s="18"/>
      <c r="J138" s="10"/>
      <c r="K138" s="19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1"/>
      <c r="J139" s="3"/>
      <c r="K139" s="17"/>
    </row>
    <row r="140" spans="1:11" x14ac:dyDescent="0.25">
      <c r="A140" s="4"/>
      <c r="B140" s="10"/>
      <c r="C140" s="10"/>
      <c r="D140" s="10"/>
      <c r="E140" s="10"/>
      <c r="F140" s="10"/>
      <c r="G140" s="10"/>
      <c r="H140" s="10"/>
      <c r="I140" s="18"/>
      <c r="J140" s="10"/>
      <c r="K140" s="19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1"/>
      <c r="J141" s="3"/>
      <c r="K141" s="17"/>
    </row>
    <row r="142" spans="1:11" x14ac:dyDescent="0.25">
      <c r="A142" s="4"/>
      <c r="B142" s="10"/>
      <c r="C142" s="10"/>
      <c r="D142" s="10"/>
      <c r="E142" s="10"/>
      <c r="F142" s="10"/>
      <c r="G142" s="10"/>
      <c r="H142" s="10"/>
      <c r="I142" s="18"/>
      <c r="J142" s="10"/>
      <c r="K142" s="19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1"/>
      <c r="J143" s="3"/>
      <c r="K143" s="17"/>
    </row>
    <row r="144" spans="1:11" x14ac:dyDescent="0.25">
      <c r="A144" s="4"/>
      <c r="B144" s="10"/>
      <c r="C144" s="10"/>
      <c r="D144" s="10"/>
      <c r="E144" s="10"/>
      <c r="F144" s="10"/>
      <c r="G144" s="10"/>
      <c r="H144" s="10"/>
      <c r="I144" s="18"/>
      <c r="J144" s="10"/>
      <c r="K144" s="19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1"/>
      <c r="J145" s="3"/>
      <c r="K145" s="17"/>
    </row>
    <row r="146" spans="1:11" x14ac:dyDescent="0.25">
      <c r="A146" s="4"/>
      <c r="B146" s="10"/>
      <c r="C146" s="10"/>
      <c r="D146" s="10"/>
      <c r="E146" s="10"/>
      <c r="F146" s="10"/>
      <c r="G146" s="10"/>
      <c r="H146" s="10"/>
      <c r="I146" s="18"/>
      <c r="J146" s="10"/>
      <c r="K146" s="19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1"/>
      <c r="J147" s="3"/>
      <c r="K147" s="17"/>
    </row>
    <row r="148" spans="1:11" x14ac:dyDescent="0.25">
      <c r="A148" s="4"/>
      <c r="B148" s="10"/>
      <c r="C148" s="10"/>
      <c r="D148" s="10"/>
      <c r="E148" s="10"/>
      <c r="F148" s="10"/>
      <c r="G148" s="10"/>
      <c r="H148" s="10"/>
      <c r="I148" s="18"/>
      <c r="J148" s="10"/>
      <c r="K148" s="19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1"/>
      <c r="J149" s="3"/>
      <c r="K149" s="17"/>
    </row>
    <row r="150" spans="1:11" x14ac:dyDescent="0.25">
      <c r="A150" s="4"/>
      <c r="B150" s="10"/>
      <c r="C150" s="10"/>
      <c r="D150" s="10"/>
      <c r="E150" s="10"/>
      <c r="F150" s="10"/>
      <c r="G150" s="10"/>
      <c r="H150" s="10"/>
      <c r="I150" s="18"/>
      <c r="J150" s="10"/>
      <c r="K150" s="19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1"/>
      <c r="J151" s="3"/>
      <c r="K151" s="17"/>
    </row>
    <row r="152" spans="1:11" x14ac:dyDescent="0.25">
      <c r="A152" s="4"/>
      <c r="B152" s="10"/>
      <c r="C152" s="10"/>
      <c r="D152" s="10"/>
      <c r="E152" s="10"/>
      <c r="F152" s="10"/>
      <c r="G152" s="10"/>
      <c r="H152" s="10"/>
      <c r="I152" s="18"/>
      <c r="J152" s="10"/>
      <c r="K152" s="19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1"/>
      <c r="J153" s="3"/>
      <c r="K153" s="17"/>
    </row>
    <row r="154" spans="1:11" x14ac:dyDescent="0.25">
      <c r="A154" s="4"/>
      <c r="B154" s="10"/>
      <c r="C154" s="10"/>
      <c r="D154" s="10"/>
      <c r="E154" s="10"/>
      <c r="F154" s="10"/>
      <c r="G154" s="10"/>
      <c r="H154" s="10"/>
      <c r="I154" s="18"/>
      <c r="J154" s="10"/>
      <c r="K154" s="19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1"/>
      <c r="J155" s="3"/>
      <c r="K155" s="17"/>
    </row>
    <row r="156" spans="1:11" x14ac:dyDescent="0.25">
      <c r="A156" s="4"/>
      <c r="B156" s="10"/>
      <c r="C156" s="10"/>
      <c r="D156" s="10"/>
      <c r="E156" s="10"/>
      <c r="F156" s="10"/>
      <c r="G156" s="10"/>
      <c r="H156" s="10"/>
      <c r="I156" s="18"/>
      <c r="J156" s="10"/>
      <c r="K156" s="19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1"/>
      <c r="J157" s="3"/>
      <c r="K157" s="17"/>
    </row>
    <row r="158" spans="1:11" x14ac:dyDescent="0.25">
      <c r="A158" s="4"/>
      <c r="B158" s="10"/>
      <c r="C158" s="10"/>
      <c r="D158" s="10"/>
      <c r="E158" s="10"/>
      <c r="F158" s="10"/>
      <c r="G158" s="10"/>
      <c r="H158" s="10"/>
      <c r="I158" s="18"/>
      <c r="J158" s="10"/>
      <c r="K158" s="19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1"/>
      <c r="J159" s="3"/>
      <c r="K159" s="17"/>
    </row>
    <row r="160" spans="1:11" x14ac:dyDescent="0.25">
      <c r="A160" s="4"/>
      <c r="B160" s="10"/>
      <c r="C160" s="10"/>
      <c r="D160" s="10"/>
      <c r="E160" s="10"/>
      <c r="F160" s="10"/>
      <c r="G160" s="10"/>
      <c r="H160" s="10"/>
      <c r="I160" s="18"/>
      <c r="J160" s="10"/>
      <c r="K160" s="19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1"/>
      <c r="J161" s="3"/>
      <c r="K161" s="17"/>
    </row>
    <row r="162" spans="1:11" x14ac:dyDescent="0.25">
      <c r="A162" s="4"/>
      <c r="B162" s="10"/>
      <c r="C162" s="10"/>
      <c r="D162" s="10"/>
      <c r="E162" s="10"/>
      <c r="F162" s="10"/>
      <c r="G162" s="10"/>
      <c r="H162" s="10"/>
      <c r="I162" s="18"/>
      <c r="J162" s="10"/>
      <c r="K162" s="19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1"/>
      <c r="J163" s="3"/>
      <c r="K163" s="17"/>
    </row>
    <row r="164" spans="1:11" x14ac:dyDescent="0.25">
      <c r="A164" s="4"/>
      <c r="B164" s="10"/>
      <c r="C164" s="10"/>
      <c r="D164" s="10"/>
      <c r="E164" s="10"/>
      <c r="F164" s="10"/>
      <c r="G164" s="10"/>
      <c r="H164" s="10"/>
      <c r="I164" s="18"/>
      <c r="J164" s="10"/>
      <c r="K164" s="19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1"/>
      <c r="J165" s="3"/>
      <c r="K165" s="17"/>
    </row>
    <row r="166" spans="1:11" x14ac:dyDescent="0.25">
      <c r="A166" s="4"/>
      <c r="B166" s="10"/>
      <c r="C166" s="10"/>
      <c r="D166" s="10"/>
      <c r="E166" s="10"/>
      <c r="F166" s="10"/>
      <c r="G166" s="10"/>
      <c r="H166" s="10"/>
      <c r="I166" s="18"/>
      <c r="J166" s="10"/>
      <c r="K166" s="19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1"/>
      <c r="J167" s="3"/>
      <c r="K167" s="17"/>
    </row>
    <row r="168" spans="1:11" x14ac:dyDescent="0.25">
      <c r="A168" s="4"/>
      <c r="B168" s="10"/>
      <c r="C168" s="10"/>
      <c r="D168" s="10"/>
      <c r="E168" s="10"/>
      <c r="F168" s="10"/>
      <c r="G168" s="10"/>
      <c r="H168" s="10"/>
      <c r="I168" s="18"/>
      <c r="J168" s="10"/>
      <c r="K168" s="19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1"/>
      <c r="J169" s="3"/>
      <c r="K169" s="17"/>
    </row>
    <row r="170" spans="1:11" x14ac:dyDescent="0.25">
      <c r="A170" s="4"/>
      <c r="B170" s="10"/>
      <c r="C170" s="10"/>
      <c r="D170" s="10"/>
      <c r="E170" s="10"/>
      <c r="F170" s="10"/>
      <c r="G170" s="10"/>
      <c r="H170" s="10"/>
      <c r="I170" s="18"/>
      <c r="J170" s="10"/>
      <c r="K170" s="19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1"/>
      <c r="J171" s="3"/>
      <c r="K171" s="17"/>
    </row>
    <row r="172" spans="1:11" x14ac:dyDescent="0.25">
      <c r="A172" s="4"/>
      <c r="B172" s="10"/>
      <c r="C172" s="10"/>
      <c r="D172" s="10"/>
      <c r="E172" s="10"/>
      <c r="F172" s="10"/>
      <c r="G172" s="10"/>
      <c r="H172" s="10"/>
      <c r="I172" s="18"/>
      <c r="J172" s="10"/>
      <c r="K172" s="19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1"/>
      <c r="J173" s="3"/>
      <c r="K173" s="17"/>
    </row>
    <row r="174" spans="1:11" x14ac:dyDescent="0.25">
      <c r="A174" s="4"/>
      <c r="B174" s="10"/>
      <c r="C174" s="10"/>
      <c r="D174" s="10"/>
      <c r="E174" s="10"/>
      <c r="F174" s="10"/>
      <c r="G174" s="10"/>
      <c r="H174" s="10"/>
      <c r="I174" s="18"/>
      <c r="J174" s="10"/>
      <c r="K174" s="19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1"/>
      <c r="J175" s="3"/>
      <c r="K175" s="17"/>
    </row>
    <row r="176" spans="1:11" x14ac:dyDescent="0.25">
      <c r="A176" s="4"/>
      <c r="B176" s="10"/>
      <c r="C176" s="10"/>
      <c r="D176" s="10"/>
      <c r="E176" s="10"/>
      <c r="F176" s="10"/>
      <c r="G176" s="10"/>
      <c r="H176" s="10"/>
      <c r="I176" s="18"/>
      <c r="J176" s="10"/>
      <c r="K176" s="19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1"/>
      <c r="J177" s="3"/>
      <c r="K177" s="17"/>
    </row>
    <row r="178" spans="1:11" x14ac:dyDescent="0.25">
      <c r="A178" s="4"/>
      <c r="B178" s="10"/>
      <c r="C178" s="10"/>
      <c r="D178" s="10"/>
      <c r="E178" s="10"/>
      <c r="F178" s="10"/>
      <c r="G178" s="10"/>
      <c r="H178" s="10"/>
      <c r="I178" s="18"/>
      <c r="J178" s="10"/>
      <c r="K178" s="19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1"/>
      <c r="J179" s="3"/>
      <c r="K179" s="17"/>
    </row>
    <row r="180" spans="1:11" x14ac:dyDescent="0.25">
      <c r="A180" s="4"/>
      <c r="B180" s="10"/>
      <c r="C180" s="10"/>
      <c r="D180" s="10"/>
      <c r="E180" s="10"/>
      <c r="F180" s="10"/>
      <c r="G180" s="10"/>
      <c r="H180" s="10"/>
      <c r="I180" s="18"/>
      <c r="J180" s="10"/>
      <c r="K180" s="19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1"/>
      <c r="J181" s="3"/>
      <c r="K181" s="17"/>
    </row>
    <row r="182" spans="1:11" x14ac:dyDescent="0.25">
      <c r="A182" s="4"/>
      <c r="B182" s="10"/>
      <c r="C182" s="10"/>
      <c r="D182" s="10"/>
      <c r="E182" s="10"/>
      <c r="F182" s="10"/>
      <c r="G182" s="10"/>
      <c r="H182" s="10"/>
      <c r="I182" s="18"/>
      <c r="J182" s="10"/>
      <c r="K182" s="19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1"/>
      <c r="J183" s="3"/>
      <c r="K183" s="17"/>
    </row>
    <row r="184" spans="1:11" ht="19" thickBot="1" x14ac:dyDescent="0.3">
      <c r="A184" s="7"/>
      <c r="B184" s="21"/>
      <c r="C184" s="21"/>
      <c r="D184" s="21"/>
      <c r="E184" s="21"/>
      <c r="F184" s="21"/>
      <c r="G184" s="10"/>
      <c r="H184" s="10"/>
      <c r="I184" s="18"/>
      <c r="J184" s="10"/>
      <c r="K184" s="19"/>
    </row>
    <row r="185" spans="1:11" x14ac:dyDescent="0.25">
      <c r="G185" s="3"/>
      <c r="H185" s="3"/>
      <c r="I185" s="11"/>
      <c r="J185" s="3"/>
      <c r="K185" s="17"/>
    </row>
    <row r="186" spans="1:11" ht="19" thickBot="1" x14ac:dyDescent="0.3">
      <c r="G186" s="21"/>
      <c r="H186" s="21"/>
      <c r="I186" s="22"/>
      <c r="J186" s="21"/>
      <c r="K186" s="23"/>
    </row>
  </sheetData>
  <conditionalFormatting sqref="A6:A1048576">
    <cfRule type="expression" dxfId="7" priority="12">
      <formula>MOD(ROW(),2)=0</formula>
    </cfRule>
  </conditionalFormatting>
  <conditionalFormatting sqref="A1:K1">
    <cfRule type="expression" dxfId="6" priority="9">
      <formula>MOD(ROW(),2)=0</formula>
    </cfRule>
  </conditionalFormatting>
  <conditionalFormatting sqref="B14:F184 G14:K186">
    <cfRule type="expression" dxfId="5" priority="17">
      <formula>MOD(ROW(),2)=0</formula>
    </cfRule>
  </conditionalFormatting>
  <conditionalFormatting sqref="C2:K2 C3:G3 J3:K3 C4:K4 C5:E5 I5:K5">
    <cfRule type="expression" dxfId="4" priority="8">
      <formula>MOD(ROW(),2)=0</formula>
    </cfRule>
  </conditionalFormatting>
  <conditionalFormatting sqref="C6:K13">
    <cfRule type="expression" dxfId="3" priority="2">
      <formula>MOD(ROW(),2)=0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A3E4-F01C-435B-BD12-D6A7BD3774FE}">
  <dimension ref="A1:K198"/>
  <sheetViews>
    <sheetView zoomScale="117" workbookViewId="0">
      <selection activeCell="H14" sqref="H14"/>
    </sheetView>
  </sheetViews>
  <sheetFormatPr baseColWidth="10" defaultColWidth="8.83203125" defaultRowHeight="18" x14ac:dyDescent="0.25"/>
  <cols>
    <col min="1" max="1" width="18" style="2" customWidth="1"/>
    <col min="2" max="2" width="21.33203125" style="2" customWidth="1"/>
    <col min="3" max="3" width="15.1640625" style="2" customWidth="1"/>
    <col min="4" max="4" width="14" style="2" customWidth="1"/>
    <col min="5" max="5" width="17.83203125" style="2" customWidth="1"/>
    <col min="6" max="6" width="12.33203125" style="2" customWidth="1"/>
    <col min="7" max="7" width="14.83203125" style="2" customWidth="1"/>
    <col min="8" max="8" width="21.33203125" style="2" customWidth="1"/>
    <col min="9" max="9" width="19.33203125" style="2" customWidth="1"/>
    <col min="10" max="10" width="40.5" style="2" customWidth="1"/>
    <col min="11" max="11" width="27.5" style="2" customWidth="1"/>
  </cols>
  <sheetData>
    <row r="1" spans="1:11" ht="19" thickBot="1" x14ac:dyDescent="0.3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 x14ac:dyDescent="0.25">
      <c r="A2" s="29">
        <v>1</v>
      </c>
      <c r="B2" s="30" t="s">
        <v>12</v>
      </c>
      <c r="C2" s="30" t="s">
        <v>13</v>
      </c>
      <c r="D2" s="30" t="s">
        <v>1</v>
      </c>
      <c r="E2" s="30" t="s">
        <v>14</v>
      </c>
      <c r="F2" s="30" t="s">
        <v>15</v>
      </c>
      <c r="G2" s="30" t="s">
        <v>0</v>
      </c>
      <c r="H2" s="30" t="s">
        <v>16</v>
      </c>
      <c r="I2" s="30" t="s">
        <v>17</v>
      </c>
      <c r="J2" s="3" t="s">
        <v>19</v>
      </c>
      <c r="K2" s="31"/>
    </row>
    <row r="3" spans="1:11" x14ac:dyDescent="0.25">
      <c r="A3" s="5"/>
      <c r="B3" s="3"/>
      <c r="C3" s="3">
        <v>1</v>
      </c>
      <c r="D3" s="3">
        <v>0</v>
      </c>
      <c r="E3" s="6" t="s">
        <v>18</v>
      </c>
      <c r="F3" s="3">
        <v>2.56</v>
      </c>
      <c r="G3" s="3">
        <v>0.02</v>
      </c>
      <c r="H3" s="3">
        <v>3.5000000000000003E-2</v>
      </c>
      <c r="I3" s="32">
        <v>5500</v>
      </c>
      <c r="J3" s="3" t="s">
        <v>34</v>
      </c>
      <c r="K3" s="33"/>
    </row>
    <row r="4" spans="1:11" x14ac:dyDescent="0.25">
      <c r="A4" s="5">
        <v>2</v>
      </c>
      <c r="B4" s="1" t="s">
        <v>32</v>
      </c>
      <c r="C4" s="1" t="s">
        <v>13</v>
      </c>
      <c r="D4" s="1" t="s">
        <v>1</v>
      </c>
      <c r="E4" s="1" t="s">
        <v>15</v>
      </c>
      <c r="F4" s="1" t="s">
        <v>0</v>
      </c>
      <c r="G4" s="1" t="s">
        <v>16</v>
      </c>
      <c r="H4" s="1" t="s">
        <v>33</v>
      </c>
      <c r="I4" s="1" t="s">
        <v>19</v>
      </c>
      <c r="J4" s="3"/>
      <c r="K4" s="33"/>
    </row>
    <row r="5" spans="1:11" x14ac:dyDescent="0.25">
      <c r="A5" s="5"/>
      <c r="B5" s="3"/>
      <c r="C5" s="3">
        <v>1</v>
      </c>
      <c r="D5" s="3">
        <v>0</v>
      </c>
      <c r="E5" s="6">
        <v>2.88</v>
      </c>
      <c r="F5" s="3">
        <v>0.5</v>
      </c>
      <c r="G5" s="3">
        <v>3.5000000000000003E-2</v>
      </c>
      <c r="H5" s="3">
        <v>4650</v>
      </c>
      <c r="I5" s="32" t="s">
        <v>35</v>
      </c>
      <c r="J5" s="3"/>
      <c r="K5" s="33"/>
    </row>
    <row r="6" spans="1:11" x14ac:dyDescent="0.25">
      <c r="A6" s="5">
        <v>4</v>
      </c>
      <c r="B6" s="1" t="s">
        <v>22</v>
      </c>
      <c r="C6" s="1" t="s">
        <v>13</v>
      </c>
      <c r="D6" s="1" t="s">
        <v>1</v>
      </c>
      <c r="E6" s="1" t="s">
        <v>23</v>
      </c>
      <c r="F6" s="1" t="s">
        <v>24</v>
      </c>
      <c r="G6" s="1" t="s">
        <v>14</v>
      </c>
      <c r="H6" s="1" t="s">
        <v>25</v>
      </c>
      <c r="I6" s="1" t="s">
        <v>26</v>
      </c>
      <c r="J6" s="34" t="s">
        <v>27</v>
      </c>
      <c r="K6" s="33" t="s">
        <v>19</v>
      </c>
    </row>
    <row r="7" spans="1:11" x14ac:dyDescent="0.25">
      <c r="A7" s="5"/>
      <c r="B7" s="3"/>
      <c r="C7" s="3">
        <v>0.85199999999999998</v>
      </c>
      <c r="D7" s="3">
        <v>39000</v>
      </c>
      <c r="E7" s="3">
        <v>0.77</v>
      </c>
      <c r="F7" s="3">
        <v>1</v>
      </c>
      <c r="G7" s="3" t="s">
        <v>18</v>
      </c>
      <c r="H7" s="3">
        <v>0</v>
      </c>
      <c r="I7" s="32">
        <v>0</v>
      </c>
      <c r="J7" s="3">
        <v>0</v>
      </c>
      <c r="K7" s="33" t="s">
        <v>22</v>
      </c>
    </row>
    <row r="8" spans="1:11" x14ac:dyDescent="0.25">
      <c r="A8" s="5">
        <v>5</v>
      </c>
      <c r="B8" s="1" t="s">
        <v>28</v>
      </c>
      <c r="C8" s="1" t="s">
        <v>13</v>
      </c>
      <c r="D8" s="1" t="s">
        <v>1</v>
      </c>
      <c r="E8" s="1" t="s">
        <v>23</v>
      </c>
      <c r="F8" s="1" t="s">
        <v>24</v>
      </c>
      <c r="G8" s="1" t="s">
        <v>14</v>
      </c>
      <c r="H8" s="1" t="s">
        <v>25</v>
      </c>
      <c r="I8" s="1" t="s">
        <v>26</v>
      </c>
      <c r="J8" s="34" t="s">
        <v>27</v>
      </c>
      <c r="K8" s="35" t="s">
        <v>19</v>
      </c>
    </row>
    <row r="9" spans="1:11" x14ac:dyDescent="0.25">
      <c r="A9" s="5"/>
      <c r="B9" s="3"/>
      <c r="C9" s="3">
        <v>0.85199999999999998</v>
      </c>
      <c r="D9" s="3">
        <v>37000</v>
      </c>
      <c r="E9" s="3">
        <v>0.77</v>
      </c>
      <c r="F9" s="3">
        <v>1</v>
      </c>
      <c r="G9" s="3" t="s">
        <v>18</v>
      </c>
      <c r="H9" s="3">
        <v>1.67</v>
      </c>
      <c r="I9" s="32">
        <v>0</v>
      </c>
      <c r="J9" s="3">
        <v>0</v>
      </c>
      <c r="K9" s="33" t="s">
        <v>28</v>
      </c>
    </row>
    <row r="10" spans="1:11" x14ac:dyDescent="0.25">
      <c r="A10" s="5">
        <v>6</v>
      </c>
      <c r="B10" s="1" t="s">
        <v>29</v>
      </c>
      <c r="C10" s="1" t="s">
        <v>13</v>
      </c>
      <c r="D10" s="1" t="s">
        <v>1</v>
      </c>
      <c r="E10" s="1" t="s">
        <v>23</v>
      </c>
      <c r="F10" s="1" t="s">
        <v>24</v>
      </c>
      <c r="G10" s="1" t="s">
        <v>14</v>
      </c>
      <c r="H10" s="1" t="s">
        <v>25</v>
      </c>
      <c r="I10" s="1" t="s">
        <v>26</v>
      </c>
      <c r="J10" s="34" t="s">
        <v>27</v>
      </c>
      <c r="K10" s="35" t="s">
        <v>19</v>
      </c>
    </row>
    <row r="11" spans="1:11" x14ac:dyDescent="0.25">
      <c r="A11" s="5"/>
      <c r="B11" s="3"/>
      <c r="C11" s="3">
        <v>0.85199999999999998</v>
      </c>
      <c r="D11" s="3">
        <v>20000</v>
      </c>
      <c r="E11" s="3">
        <v>0.77</v>
      </c>
      <c r="F11" s="3">
        <v>1.5</v>
      </c>
      <c r="G11" s="3" t="s">
        <v>18</v>
      </c>
      <c r="H11" s="3">
        <v>0</v>
      </c>
      <c r="I11" s="32">
        <v>0</v>
      </c>
      <c r="J11" s="3">
        <v>0</v>
      </c>
      <c r="K11" s="33" t="s">
        <v>29</v>
      </c>
    </row>
    <row r="12" spans="1:11" x14ac:dyDescent="0.25">
      <c r="A12" s="5">
        <v>7</v>
      </c>
      <c r="B12" s="36" t="s">
        <v>31</v>
      </c>
      <c r="C12" s="36" t="s">
        <v>13</v>
      </c>
      <c r="D12" s="1" t="s">
        <v>1</v>
      </c>
      <c r="E12" s="36" t="s">
        <v>23</v>
      </c>
      <c r="F12" s="36" t="s">
        <v>24</v>
      </c>
      <c r="G12" s="36" t="s">
        <v>14</v>
      </c>
      <c r="H12" s="36" t="s">
        <v>25</v>
      </c>
      <c r="I12" s="36" t="s">
        <v>26</v>
      </c>
      <c r="J12" s="37" t="s">
        <v>27</v>
      </c>
      <c r="K12" s="38" t="s">
        <v>19</v>
      </c>
    </row>
    <row r="13" spans="1:11" x14ac:dyDescent="0.25">
      <c r="A13" s="5"/>
      <c r="B13" s="3"/>
      <c r="C13" s="3">
        <v>0.85199999999999998</v>
      </c>
      <c r="D13" s="3">
        <v>20000</v>
      </c>
      <c r="E13" s="3">
        <v>0.77</v>
      </c>
      <c r="F13" s="3">
        <v>1</v>
      </c>
      <c r="G13" s="3" t="s">
        <v>18</v>
      </c>
      <c r="H13" s="3">
        <v>0</v>
      </c>
      <c r="I13" s="32">
        <v>0</v>
      </c>
      <c r="J13" s="3">
        <v>0</v>
      </c>
      <c r="K13" s="33" t="s">
        <v>31</v>
      </c>
    </row>
    <row r="14" spans="1:11" x14ac:dyDescent="0.25">
      <c r="A14" s="5"/>
      <c r="B14" s="3"/>
      <c r="C14" s="3"/>
      <c r="D14" s="3"/>
      <c r="E14" s="3"/>
      <c r="F14" s="3"/>
      <c r="G14" s="3"/>
      <c r="H14" s="3"/>
      <c r="I14" s="32"/>
      <c r="J14" s="3"/>
      <c r="K14" s="33"/>
    </row>
    <row r="15" spans="1:11" x14ac:dyDescent="0.25">
      <c r="A15" s="5"/>
      <c r="B15" s="3"/>
      <c r="C15" s="3"/>
      <c r="D15" s="3"/>
      <c r="E15" s="3"/>
      <c r="F15" s="3"/>
      <c r="G15" s="3"/>
      <c r="H15" s="3"/>
      <c r="I15" s="32"/>
      <c r="J15" s="3"/>
      <c r="K15" s="33"/>
    </row>
    <row r="16" spans="1:11" x14ac:dyDescent="0.25">
      <c r="A16" s="5"/>
      <c r="B16" s="3"/>
      <c r="C16" s="3"/>
      <c r="D16" s="3"/>
      <c r="E16" s="3"/>
      <c r="F16" s="3"/>
      <c r="G16" s="3"/>
      <c r="H16" s="3"/>
      <c r="I16" s="32"/>
      <c r="J16" s="3"/>
      <c r="K16" s="33"/>
    </row>
    <row r="17" spans="1:11" x14ac:dyDescent="0.25">
      <c r="A17" s="5"/>
      <c r="B17" s="3"/>
      <c r="C17" s="3"/>
      <c r="D17" s="3"/>
      <c r="E17" s="3"/>
      <c r="F17" s="3"/>
      <c r="G17" s="3"/>
      <c r="H17" s="3"/>
      <c r="I17" s="32"/>
      <c r="J17" s="3"/>
      <c r="K17" s="33"/>
    </row>
    <row r="18" spans="1:11" x14ac:dyDescent="0.25">
      <c r="A18" s="5"/>
      <c r="B18" s="3"/>
      <c r="C18" s="3"/>
      <c r="D18" s="3"/>
      <c r="E18" s="3"/>
      <c r="F18" s="3"/>
      <c r="G18" s="3"/>
      <c r="H18" s="3"/>
      <c r="I18" s="32"/>
      <c r="J18" s="3"/>
      <c r="K18" s="33"/>
    </row>
    <row r="19" spans="1:11" x14ac:dyDescent="0.25">
      <c r="A19" s="4"/>
      <c r="B19" s="3"/>
      <c r="C19" s="3"/>
      <c r="D19" s="3"/>
      <c r="E19" s="3"/>
      <c r="F19" s="3"/>
      <c r="G19" s="3"/>
      <c r="H19" s="3"/>
      <c r="I19" s="32"/>
      <c r="J19" s="3"/>
      <c r="K19" s="33"/>
    </row>
    <row r="20" spans="1:11" x14ac:dyDescent="0.25">
      <c r="A20" s="4"/>
      <c r="B20" s="3"/>
      <c r="C20" s="3"/>
      <c r="D20" s="3"/>
      <c r="E20" s="3"/>
      <c r="F20" s="3"/>
      <c r="G20" s="3"/>
      <c r="H20" s="3"/>
      <c r="I20" s="32"/>
      <c r="J20" s="3"/>
      <c r="K20" s="33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32"/>
      <c r="J21" s="3"/>
      <c r="K21" s="33"/>
    </row>
    <row r="22" spans="1:11" x14ac:dyDescent="0.25">
      <c r="A22" s="4"/>
      <c r="B22" s="3"/>
      <c r="C22" s="3"/>
      <c r="D22" s="3"/>
      <c r="E22" s="3"/>
      <c r="F22" s="3"/>
      <c r="G22" s="3"/>
      <c r="H22" s="3"/>
      <c r="I22" s="32"/>
      <c r="J22" s="3"/>
      <c r="K22" s="33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32"/>
      <c r="J23" s="3"/>
      <c r="K23" s="33"/>
    </row>
    <row r="24" spans="1:11" x14ac:dyDescent="0.25">
      <c r="A24" s="4"/>
      <c r="B24" s="3"/>
      <c r="C24" s="3"/>
      <c r="D24" s="3"/>
      <c r="E24" s="3"/>
      <c r="F24" s="3"/>
      <c r="G24" s="3"/>
      <c r="H24" s="3"/>
      <c r="I24" s="32"/>
      <c r="J24" s="3"/>
      <c r="K24" s="33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32"/>
      <c r="J25" s="3"/>
      <c r="K25" s="33"/>
    </row>
    <row r="26" spans="1:11" x14ac:dyDescent="0.25">
      <c r="A26" s="4"/>
      <c r="B26" s="3"/>
      <c r="C26" s="3"/>
      <c r="D26" s="3"/>
      <c r="E26" s="3"/>
      <c r="F26" s="3"/>
      <c r="G26" s="3"/>
      <c r="H26" s="3"/>
      <c r="I26" s="32"/>
      <c r="J26" s="3"/>
      <c r="K26" s="33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32"/>
      <c r="J27" s="3"/>
      <c r="K27" s="33"/>
    </row>
    <row r="28" spans="1:11" x14ac:dyDescent="0.25">
      <c r="A28" s="4"/>
      <c r="B28" s="3"/>
      <c r="C28" s="3"/>
      <c r="D28" s="3"/>
      <c r="E28" s="3"/>
      <c r="F28" s="3"/>
      <c r="G28" s="3"/>
      <c r="H28" s="3"/>
      <c r="I28" s="32"/>
      <c r="J28" s="3"/>
      <c r="K28" s="33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32"/>
      <c r="J29" s="3"/>
      <c r="K29" s="33"/>
    </row>
    <row r="30" spans="1:11" x14ac:dyDescent="0.25">
      <c r="A30" s="4"/>
      <c r="B30" s="3"/>
      <c r="C30" s="3"/>
      <c r="D30" s="3"/>
      <c r="E30" s="3"/>
      <c r="F30" s="3"/>
      <c r="G30" s="3"/>
      <c r="H30" s="3"/>
      <c r="I30" s="32"/>
      <c r="J30" s="3"/>
      <c r="K30" s="33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32"/>
      <c r="J31" s="3"/>
      <c r="K31" s="33"/>
    </row>
    <row r="32" spans="1:11" x14ac:dyDescent="0.25">
      <c r="A32" s="4"/>
      <c r="B32" s="3"/>
      <c r="C32" s="3"/>
      <c r="D32" s="3"/>
      <c r="E32" s="3"/>
      <c r="F32" s="3"/>
      <c r="G32" s="3"/>
      <c r="H32" s="3"/>
      <c r="I32" s="32"/>
      <c r="J32" s="3"/>
      <c r="K32" s="33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32"/>
      <c r="J33" s="3"/>
      <c r="K33" s="33"/>
    </row>
    <row r="34" spans="1:11" x14ac:dyDescent="0.25">
      <c r="A34" s="4"/>
      <c r="B34" s="3"/>
      <c r="C34" s="3"/>
      <c r="D34" s="3"/>
      <c r="E34" s="3"/>
      <c r="F34" s="3"/>
      <c r="G34" s="3"/>
      <c r="H34" s="3"/>
      <c r="I34" s="32"/>
      <c r="J34" s="3"/>
      <c r="K34" s="33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32"/>
      <c r="J35" s="3"/>
      <c r="K35" s="33"/>
    </row>
    <row r="36" spans="1:11" x14ac:dyDescent="0.25">
      <c r="A36" s="4"/>
      <c r="B36" s="3"/>
      <c r="C36" s="3"/>
      <c r="D36" s="3"/>
      <c r="E36" s="3"/>
      <c r="F36" s="3"/>
      <c r="G36" s="3"/>
      <c r="H36" s="3"/>
      <c r="I36" s="32"/>
      <c r="J36" s="3"/>
      <c r="K36" s="33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32"/>
      <c r="J37" s="3"/>
      <c r="K37" s="33"/>
    </row>
    <row r="38" spans="1:11" x14ac:dyDescent="0.25">
      <c r="A38" s="4"/>
      <c r="B38" s="3"/>
      <c r="C38" s="3"/>
      <c r="D38" s="3"/>
      <c r="E38" s="3"/>
      <c r="F38" s="3"/>
      <c r="G38" s="3"/>
      <c r="H38" s="3"/>
      <c r="I38" s="32"/>
      <c r="J38" s="3"/>
      <c r="K38" s="33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32"/>
      <c r="J39" s="3"/>
      <c r="K39" s="33"/>
    </row>
    <row r="40" spans="1:11" x14ac:dyDescent="0.25">
      <c r="A40" s="4"/>
      <c r="B40" s="3"/>
      <c r="C40" s="3"/>
      <c r="D40" s="3"/>
      <c r="E40" s="3"/>
      <c r="F40" s="3"/>
      <c r="G40" s="3"/>
      <c r="H40" s="3"/>
      <c r="I40" s="32"/>
      <c r="J40" s="3"/>
      <c r="K40" s="33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32"/>
      <c r="J41" s="3"/>
      <c r="K41" s="33"/>
    </row>
    <row r="42" spans="1:11" x14ac:dyDescent="0.25">
      <c r="A42" s="4"/>
      <c r="B42" s="3"/>
      <c r="C42" s="3"/>
      <c r="D42" s="3"/>
      <c r="E42" s="3"/>
      <c r="F42" s="3"/>
      <c r="G42" s="3"/>
      <c r="H42" s="3"/>
      <c r="I42" s="32"/>
      <c r="J42" s="3"/>
      <c r="K42" s="33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32"/>
      <c r="J43" s="3"/>
      <c r="K43" s="33"/>
    </row>
    <row r="44" spans="1:11" x14ac:dyDescent="0.25">
      <c r="A44" s="4"/>
      <c r="B44" s="3"/>
      <c r="C44" s="3"/>
      <c r="D44" s="3"/>
      <c r="E44" s="3"/>
      <c r="F44" s="3"/>
      <c r="G44" s="3"/>
      <c r="H44" s="3"/>
      <c r="I44" s="32"/>
      <c r="J44" s="3"/>
      <c r="K44" s="33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32"/>
      <c r="J45" s="3"/>
      <c r="K45" s="33"/>
    </row>
    <row r="46" spans="1:11" x14ac:dyDescent="0.25">
      <c r="A46" s="4"/>
      <c r="B46" s="3"/>
      <c r="C46" s="3"/>
      <c r="D46" s="3"/>
      <c r="E46" s="3"/>
      <c r="F46" s="3"/>
      <c r="G46" s="3"/>
      <c r="H46" s="3"/>
      <c r="I46" s="32"/>
      <c r="J46" s="3"/>
      <c r="K46" s="33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32"/>
      <c r="J47" s="3"/>
      <c r="K47" s="33"/>
    </row>
    <row r="48" spans="1:11" x14ac:dyDescent="0.25">
      <c r="A48" s="4"/>
      <c r="B48" s="3"/>
      <c r="C48" s="3"/>
      <c r="D48" s="3"/>
      <c r="E48" s="3"/>
      <c r="F48" s="3"/>
      <c r="G48" s="3"/>
      <c r="H48" s="3"/>
      <c r="I48" s="32"/>
      <c r="J48" s="3"/>
      <c r="K48" s="33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32"/>
      <c r="J49" s="3"/>
      <c r="K49" s="33"/>
    </row>
    <row r="50" spans="1:11" x14ac:dyDescent="0.25">
      <c r="A50" s="4"/>
      <c r="B50" s="3"/>
      <c r="C50" s="3"/>
      <c r="D50" s="3"/>
      <c r="E50" s="3"/>
      <c r="F50" s="3"/>
      <c r="G50" s="3"/>
      <c r="H50" s="3"/>
      <c r="I50" s="32"/>
      <c r="J50" s="3"/>
      <c r="K50" s="33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32"/>
      <c r="J51" s="3"/>
      <c r="K51" s="33"/>
    </row>
    <row r="52" spans="1:11" x14ac:dyDescent="0.25">
      <c r="A52" s="4"/>
      <c r="B52" s="3"/>
      <c r="C52" s="3"/>
      <c r="D52" s="3"/>
      <c r="E52" s="3"/>
      <c r="F52" s="3"/>
      <c r="G52" s="3"/>
      <c r="H52" s="3"/>
      <c r="I52" s="32"/>
      <c r="J52" s="3"/>
      <c r="K52" s="33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32"/>
      <c r="J53" s="3"/>
      <c r="K53" s="33"/>
    </row>
    <row r="54" spans="1:11" x14ac:dyDescent="0.25">
      <c r="A54" s="4"/>
      <c r="B54" s="3"/>
      <c r="C54" s="3"/>
      <c r="D54" s="3"/>
      <c r="E54" s="3"/>
      <c r="F54" s="3"/>
      <c r="G54" s="3"/>
      <c r="H54" s="3"/>
      <c r="I54" s="32"/>
      <c r="J54" s="3"/>
      <c r="K54" s="33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32"/>
      <c r="J55" s="3"/>
      <c r="K55" s="33"/>
    </row>
    <row r="56" spans="1:11" x14ac:dyDescent="0.25">
      <c r="A56" s="4"/>
      <c r="B56" s="3"/>
      <c r="C56" s="3"/>
      <c r="D56" s="3"/>
      <c r="E56" s="3"/>
      <c r="F56" s="3"/>
      <c r="G56" s="3"/>
      <c r="H56" s="3"/>
      <c r="I56" s="32"/>
      <c r="J56" s="3"/>
      <c r="K56" s="33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32"/>
      <c r="J57" s="3"/>
      <c r="K57" s="33"/>
    </row>
    <row r="58" spans="1:11" x14ac:dyDescent="0.25">
      <c r="A58" s="4"/>
      <c r="B58" s="3"/>
      <c r="C58" s="3"/>
      <c r="D58" s="3"/>
      <c r="E58" s="3"/>
      <c r="F58" s="3"/>
      <c r="G58" s="3"/>
      <c r="H58" s="3"/>
      <c r="I58" s="32"/>
      <c r="J58" s="3"/>
      <c r="K58" s="33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32"/>
      <c r="J59" s="3"/>
      <c r="K59" s="33"/>
    </row>
    <row r="60" spans="1:11" x14ac:dyDescent="0.25">
      <c r="A60" s="4"/>
      <c r="B60" s="3"/>
      <c r="C60" s="3"/>
      <c r="D60" s="3"/>
      <c r="E60" s="3"/>
      <c r="F60" s="3"/>
      <c r="G60" s="3"/>
      <c r="H60" s="3"/>
      <c r="I60" s="32"/>
      <c r="J60" s="3"/>
      <c r="K60" s="33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32"/>
      <c r="J61" s="3"/>
      <c r="K61" s="33"/>
    </row>
    <row r="62" spans="1:11" x14ac:dyDescent="0.25">
      <c r="A62" s="4"/>
      <c r="B62" s="3"/>
      <c r="C62" s="3"/>
      <c r="D62" s="3"/>
      <c r="E62" s="3"/>
      <c r="F62" s="3"/>
      <c r="G62" s="3"/>
      <c r="H62" s="3"/>
      <c r="I62" s="32"/>
      <c r="J62" s="3"/>
      <c r="K62" s="33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32"/>
      <c r="J63" s="3"/>
      <c r="K63" s="33"/>
    </row>
    <row r="64" spans="1:11" x14ac:dyDescent="0.25">
      <c r="A64" s="4"/>
      <c r="B64" s="3"/>
      <c r="C64" s="3"/>
      <c r="D64" s="3"/>
      <c r="E64" s="3"/>
      <c r="F64" s="3"/>
      <c r="G64" s="3"/>
      <c r="H64" s="3"/>
      <c r="I64" s="32"/>
      <c r="J64" s="3"/>
      <c r="K64" s="33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32"/>
      <c r="J65" s="3"/>
      <c r="K65" s="33"/>
    </row>
    <row r="66" spans="1:11" x14ac:dyDescent="0.25">
      <c r="A66" s="4"/>
      <c r="B66" s="3"/>
      <c r="C66" s="3"/>
      <c r="D66" s="3"/>
      <c r="E66" s="3"/>
      <c r="F66" s="3"/>
      <c r="G66" s="3"/>
      <c r="H66" s="3"/>
      <c r="I66" s="32"/>
      <c r="J66" s="3"/>
      <c r="K66" s="33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32"/>
      <c r="J67" s="3"/>
      <c r="K67" s="33"/>
    </row>
    <row r="68" spans="1:11" x14ac:dyDescent="0.25">
      <c r="A68" s="4"/>
      <c r="B68" s="3"/>
      <c r="C68" s="3"/>
      <c r="D68" s="3"/>
      <c r="E68" s="3"/>
      <c r="F68" s="3"/>
      <c r="G68" s="3"/>
      <c r="H68" s="3"/>
      <c r="I68" s="32"/>
      <c r="J68" s="3"/>
      <c r="K68" s="33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32"/>
      <c r="J69" s="3"/>
      <c r="K69" s="33"/>
    </row>
    <row r="70" spans="1:11" x14ac:dyDescent="0.25">
      <c r="A70" s="4"/>
      <c r="B70" s="3"/>
      <c r="C70" s="3"/>
      <c r="D70" s="3"/>
      <c r="E70" s="3"/>
      <c r="F70" s="3"/>
      <c r="G70" s="3"/>
      <c r="H70" s="3"/>
      <c r="I70" s="32"/>
      <c r="J70" s="3"/>
      <c r="K70" s="33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32"/>
      <c r="J71" s="3"/>
      <c r="K71" s="33"/>
    </row>
    <row r="72" spans="1:11" x14ac:dyDescent="0.25">
      <c r="A72" s="4"/>
      <c r="B72" s="3"/>
      <c r="C72" s="3"/>
      <c r="D72" s="3"/>
      <c r="E72" s="3"/>
      <c r="F72" s="3"/>
      <c r="G72" s="3"/>
      <c r="H72" s="3"/>
      <c r="I72" s="32"/>
      <c r="J72" s="3"/>
      <c r="K72" s="33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32"/>
      <c r="J73" s="3"/>
      <c r="K73" s="33"/>
    </row>
    <row r="74" spans="1:11" x14ac:dyDescent="0.25">
      <c r="A74" s="4"/>
      <c r="B74" s="3"/>
      <c r="C74" s="3"/>
      <c r="D74" s="3"/>
      <c r="E74" s="3"/>
      <c r="F74" s="3"/>
      <c r="G74" s="3"/>
      <c r="H74" s="3"/>
      <c r="I74" s="32"/>
      <c r="J74" s="3"/>
      <c r="K74" s="33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32"/>
      <c r="J75" s="3"/>
      <c r="K75" s="33"/>
    </row>
    <row r="76" spans="1:11" x14ac:dyDescent="0.25">
      <c r="A76" s="4"/>
      <c r="B76" s="3"/>
      <c r="C76" s="3"/>
      <c r="D76" s="3"/>
      <c r="E76" s="3"/>
      <c r="F76" s="3"/>
      <c r="G76" s="3"/>
      <c r="H76" s="3"/>
      <c r="I76" s="32"/>
      <c r="J76" s="3"/>
      <c r="K76" s="33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32"/>
      <c r="J77" s="3"/>
      <c r="K77" s="33"/>
    </row>
    <row r="78" spans="1:11" x14ac:dyDescent="0.25">
      <c r="A78" s="4"/>
      <c r="B78" s="3"/>
      <c r="C78" s="3"/>
      <c r="D78" s="3"/>
      <c r="E78" s="3"/>
      <c r="F78" s="3"/>
      <c r="G78" s="3"/>
      <c r="H78" s="3"/>
      <c r="I78" s="32"/>
      <c r="J78" s="3"/>
      <c r="K78" s="33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32"/>
      <c r="J79" s="3"/>
      <c r="K79" s="33"/>
    </row>
    <row r="80" spans="1:11" x14ac:dyDescent="0.25">
      <c r="A80" s="4"/>
      <c r="B80" s="3"/>
      <c r="C80" s="3"/>
      <c r="D80" s="3"/>
      <c r="E80" s="3"/>
      <c r="F80" s="3"/>
      <c r="G80" s="3"/>
      <c r="H80" s="3"/>
      <c r="I80" s="32"/>
      <c r="J80" s="3"/>
      <c r="K80" s="33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32"/>
      <c r="J81" s="3"/>
      <c r="K81" s="33"/>
    </row>
    <row r="82" spans="1:11" x14ac:dyDescent="0.25">
      <c r="A82" s="4"/>
      <c r="B82" s="3"/>
      <c r="C82" s="3"/>
      <c r="D82" s="3"/>
      <c r="E82" s="3"/>
      <c r="F82" s="3"/>
      <c r="G82" s="3"/>
      <c r="H82" s="3"/>
      <c r="I82" s="32"/>
      <c r="J82" s="3"/>
      <c r="K82" s="33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32"/>
      <c r="J83" s="3"/>
      <c r="K83" s="33"/>
    </row>
    <row r="84" spans="1:11" x14ac:dyDescent="0.25">
      <c r="A84" s="4"/>
      <c r="B84" s="3"/>
      <c r="C84" s="3"/>
      <c r="D84" s="3"/>
      <c r="E84" s="3"/>
      <c r="F84" s="3"/>
      <c r="G84" s="3"/>
      <c r="H84" s="3"/>
      <c r="I84" s="32"/>
      <c r="J84" s="3"/>
      <c r="K84" s="33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32"/>
      <c r="J85" s="3"/>
      <c r="K85" s="33"/>
    </row>
    <row r="86" spans="1:11" x14ac:dyDescent="0.25">
      <c r="A86" s="4"/>
      <c r="B86" s="3"/>
      <c r="C86" s="3"/>
      <c r="D86" s="3"/>
      <c r="E86" s="3"/>
      <c r="F86" s="3"/>
      <c r="G86" s="3"/>
      <c r="H86" s="3"/>
      <c r="I86" s="32"/>
      <c r="J86" s="3"/>
      <c r="K86" s="33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32"/>
      <c r="J87" s="3"/>
      <c r="K87" s="33"/>
    </row>
    <row r="88" spans="1:11" x14ac:dyDescent="0.25">
      <c r="A88" s="4"/>
      <c r="B88" s="3"/>
      <c r="C88" s="3"/>
      <c r="D88" s="3"/>
      <c r="E88" s="3"/>
      <c r="F88" s="3"/>
      <c r="G88" s="3"/>
      <c r="H88" s="3"/>
      <c r="I88" s="32"/>
      <c r="J88" s="3"/>
      <c r="K88" s="33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32"/>
      <c r="J89" s="3"/>
      <c r="K89" s="33"/>
    </row>
    <row r="90" spans="1:11" x14ac:dyDescent="0.25">
      <c r="A90" s="4"/>
      <c r="B90" s="3"/>
      <c r="C90" s="3"/>
      <c r="D90" s="3"/>
      <c r="E90" s="3"/>
      <c r="F90" s="3"/>
      <c r="G90" s="3"/>
      <c r="H90" s="3"/>
      <c r="I90" s="32"/>
      <c r="J90" s="3"/>
      <c r="K90" s="33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32"/>
      <c r="J91" s="3"/>
      <c r="K91" s="33"/>
    </row>
    <row r="92" spans="1:11" x14ac:dyDescent="0.25">
      <c r="A92" s="4"/>
      <c r="B92" s="3"/>
      <c r="C92" s="3"/>
      <c r="D92" s="3"/>
      <c r="E92" s="3"/>
      <c r="F92" s="3"/>
      <c r="G92" s="3"/>
      <c r="H92" s="3"/>
      <c r="I92" s="32"/>
      <c r="J92" s="3"/>
      <c r="K92" s="33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32"/>
      <c r="J93" s="3"/>
      <c r="K93" s="33"/>
    </row>
    <row r="94" spans="1:11" x14ac:dyDescent="0.25">
      <c r="A94" s="4"/>
      <c r="B94" s="3"/>
      <c r="C94" s="3"/>
      <c r="D94" s="3"/>
      <c r="E94" s="3"/>
      <c r="F94" s="3"/>
      <c r="G94" s="3"/>
      <c r="H94" s="3"/>
      <c r="I94" s="32"/>
      <c r="J94" s="3"/>
      <c r="K94" s="33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32"/>
      <c r="J95" s="3"/>
      <c r="K95" s="33"/>
    </row>
    <row r="96" spans="1:11" x14ac:dyDescent="0.25">
      <c r="A96" s="4"/>
      <c r="B96" s="3"/>
      <c r="C96" s="3"/>
      <c r="D96" s="3"/>
      <c r="E96" s="3"/>
      <c r="F96" s="3"/>
      <c r="G96" s="3"/>
      <c r="H96" s="3"/>
      <c r="I96" s="32"/>
      <c r="J96" s="3"/>
      <c r="K96" s="33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32"/>
      <c r="J97" s="3"/>
      <c r="K97" s="33"/>
    </row>
    <row r="98" spans="1:11" x14ac:dyDescent="0.25">
      <c r="A98" s="4"/>
      <c r="B98" s="3"/>
      <c r="C98" s="3"/>
      <c r="D98" s="3"/>
      <c r="E98" s="3"/>
      <c r="F98" s="3"/>
      <c r="G98" s="3"/>
      <c r="H98" s="3"/>
      <c r="I98" s="32"/>
      <c r="J98" s="3"/>
      <c r="K98" s="33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32"/>
      <c r="J99" s="3"/>
      <c r="K99" s="33"/>
    </row>
    <row r="100" spans="1:11" x14ac:dyDescent="0.25">
      <c r="A100" s="4"/>
      <c r="B100" s="3"/>
      <c r="C100" s="3"/>
      <c r="D100" s="3"/>
      <c r="E100" s="3"/>
      <c r="F100" s="3"/>
      <c r="G100" s="3"/>
      <c r="H100" s="3"/>
      <c r="I100" s="32"/>
      <c r="J100" s="3"/>
      <c r="K100" s="33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32"/>
      <c r="J101" s="3"/>
      <c r="K101" s="33"/>
    </row>
    <row r="102" spans="1:11" x14ac:dyDescent="0.25">
      <c r="A102" s="4"/>
      <c r="B102" s="3"/>
      <c r="C102" s="3"/>
      <c r="D102" s="3"/>
      <c r="E102" s="3"/>
      <c r="F102" s="3"/>
      <c r="G102" s="3"/>
      <c r="H102" s="3"/>
      <c r="I102" s="32"/>
      <c r="J102" s="3"/>
      <c r="K102" s="33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32"/>
      <c r="J103" s="3"/>
      <c r="K103" s="33"/>
    </row>
    <row r="104" spans="1:11" x14ac:dyDescent="0.25">
      <c r="A104" s="4"/>
      <c r="B104" s="3"/>
      <c r="C104" s="3"/>
      <c r="D104" s="3"/>
      <c r="E104" s="3"/>
      <c r="F104" s="3"/>
      <c r="G104" s="3"/>
      <c r="H104" s="3"/>
      <c r="I104" s="32"/>
      <c r="J104" s="3"/>
      <c r="K104" s="33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32"/>
      <c r="J105" s="3"/>
      <c r="K105" s="33"/>
    </row>
    <row r="106" spans="1:11" x14ac:dyDescent="0.25">
      <c r="A106" s="4"/>
      <c r="B106" s="3"/>
      <c r="C106" s="3"/>
      <c r="D106" s="3"/>
      <c r="E106" s="3"/>
      <c r="F106" s="3"/>
      <c r="G106" s="3"/>
      <c r="H106" s="3"/>
      <c r="I106" s="32"/>
      <c r="J106" s="3"/>
      <c r="K106" s="33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32"/>
      <c r="J107" s="3"/>
      <c r="K107" s="33"/>
    </row>
    <row r="108" spans="1:11" x14ac:dyDescent="0.25">
      <c r="A108" s="4"/>
      <c r="B108" s="3"/>
      <c r="C108" s="3"/>
      <c r="D108" s="3"/>
      <c r="E108" s="3"/>
      <c r="F108" s="3"/>
      <c r="G108" s="3"/>
      <c r="H108" s="3"/>
      <c r="I108" s="32"/>
      <c r="J108" s="3"/>
      <c r="K108" s="33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32"/>
      <c r="J109" s="3"/>
      <c r="K109" s="33"/>
    </row>
    <row r="110" spans="1:11" x14ac:dyDescent="0.25">
      <c r="A110" s="4"/>
      <c r="B110" s="3"/>
      <c r="C110" s="3"/>
      <c r="D110" s="3"/>
      <c r="E110" s="3"/>
      <c r="F110" s="3"/>
      <c r="G110" s="3"/>
      <c r="H110" s="3"/>
      <c r="I110" s="32"/>
      <c r="J110" s="3"/>
      <c r="K110" s="33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32"/>
      <c r="J111" s="3"/>
      <c r="K111" s="33"/>
    </row>
    <row r="112" spans="1:11" x14ac:dyDescent="0.25">
      <c r="A112" s="4"/>
      <c r="B112" s="3"/>
      <c r="C112" s="3"/>
      <c r="D112" s="3"/>
      <c r="E112" s="3"/>
      <c r="F112" s="3"/>
      <c r="G112" s="3"/>
      <c r="H112" s="3"/>
      <c r="I112" s="32"/>
      <c r="J112" s="3"/>
      <c r="K112" s="33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32"/>
      <c r="J113" s="3"/>
      <c r="K113" s="33"/>
    </row>
    <row r="114" spans="1:11" x14ac:dyDescent="0.25">
      <c r="A114" s="4"/>
      <c r="B114" s="3"/>
      <c r="C114" s="3"/>
      <c r="D114" s="3"/>
      <c r="E114" s="3"/>
      <c r="F114" s="3"/>
      <c r="G114" s="3"/>
      <c r="H114" s="3"/>
      <c r="I114" s="32"/>
      <c r="J114" s="3"/>
      <c r="K114" s="33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32"/>
      <c r="J115" s="3"/>
      <c r="K115" s="33"/>
    </row>
    <row r="116" spans="1:11" x14ac:dyDescent="0.25">
      <c r="A116" s="4"/>
      <c r="B116" s="3"/>
      <c r="C116" s="3"/>
      <c r="D116" s="3"/>
      <c r="E116" s="3"/>
      <c r="F116" s="3"/>
      <c r="G116" s="3"/>
      <c r="H116" s="3"/>
      <c r="I116" s="32"/>
      <c r="J116" s="3"/>
      <c r="K116" s="33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32"/>
      <c r="J117" s="3"/>
      <c r="K117" s="33"/>
    </row>
    <row r="118" spans="1:11" x14ac:dyDescent="0.25">
      <c r="A118" s="4"/>
      <c r="B118" s="3"/>
      <c r="C118" s="3"/>
      <c r="D118" s="3"/>
      <c r="E118" s="3"/>
      <c r="F118" s="3"/>
      <c r="G118" s="3"/>
      <c r="H118" s="3"/>
      <c r="I118" s="32"/>
      <c r="J118" s="3"/>
      <c r="K118" s="33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32"/>
      <c r="J119" s="3"/>
      <c r="K119" s="33"/>
    </row>
    <row r="120" spans="1:11" x14ac:dyDescent="0.25">
      <c r="A120" s="4"/>
      <c r="B120" s="3"/>
      <c r="C120" s="3"/>
      <c r="D120" s="3"/>
      <c r="E120" s="3"/>
      <c r="F120" s="3"/>
      <c r="G120" s="3"/>
      <c r="H120" s="3"/>
      <c r="I120" s="32"/>
      <c r="J120" s="3"/>
      <c r="K120" s="33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32"/>
      <c r="J121" s="3"/>
      <c r="K121" s="33"/>
    </row>
    <row r="122" spans="1:11" x14ac:dyDescent="0.25">
      <c r="A122" s="4"/>
      <c r="B122" s="3"/>
      <c r="C122" s="3"/>
      <c r="D122" s="3"/>
      <c r="E122" s="3"/>
      <c r="F122" s="3"/>
      <c r="G122" s="3"/>
      <c r="H122" s="3"/>
      <c r="I122" s="32"/>
      <c r="J122" s="3"/>
      <c r="K122" s="33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32"/>
      <c r="J123" s="3"/>
      <c r="K123" s="33"/>
    </row>
    <row r="124" spans="1:11" x14ac:dyDescent="0.25">
      <c r="A124" s="4"/>
      <c r="B124" s="3"/>
      <c r="C124" s="3"/>
      <c r="D124" s="3"/>
      <c r="E124" s="3"/>
      <c r="F124" s="3"/>
      <c r="G124" s="3"/>
      <c r="H124" s="3"/>
      <c r="I124" s="32"/>
      <c r="J124" s="3"/>
      <c r="K124" s="33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32"/>
      <c r="J125" s="3"/>
      <c r="K125" s="33"/>
    </row>
    <row r="126" spans="1:11" x14ac:dyDescent="0.25">
      <c r="A126" s="4"/>
      <c r="B126" s="3"/>
      <c r="C126" s="3"/>
      <c r="D126" s="3"/>
      <c r="E126" s="3"/>
      <c r="F126" s="3"/>
      <c r="G126" s="3"/>
      <c r="H126" s="3"/>
      <c r="I126" s="32"/>
      <c r="J126" s="3"/>
      <c r="K126" s="33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32"/>
      <c r="J127" s="3"/>
      <c r="K127" s="33"/>
    </row>
    <row r="128" spans="1:11" x14ac:dyDescent="0.25">
      <c r="A128" s="4"/>
      <c r="B128" s="3"/>
      <c r="C128" s="3"/>
      <c r="D128" s="3"/>
      <c r="E128" s="3"/>
      <c r="F128" s="3"/>
      <c r="G128" s="3"/>
      <c r="H128" s="3"/>
      <c r="I128" s="32"/>
      <c r="J128" s="3"/>
      <c r="K128" s="33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32"/>
      <c r="J129" s="3"/>
      <c r="K129" s="33"/>
    </row>
    <row r="130" spans="1:11" x14ac:dyDescent="0.25">
      <c r="A130" s="4"/>
      <c r="B130" s="3"/>
      <c r="C130" s="3"/>
      <c r="D130" s="3"/>
      <c r="E130" s="3"/>
      <c r="F130" s="3"/>
      <c r="G130" s="3"/>
      <c r="H130" s="3"/>
      <c r="I130" s="32"/>
      <c r="J130" s="3"/>
      <c r="K130" s="33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32"/>
      <c r="J131" s="3"/>
      <c r="K131" s="33"/>
    </row>
    <row r="132" spans="1:11" x14ac:dyDescent="0.25">
      <c r="A132" s="4"/>
      <c r="B132" s="3"/>
      <c r="C132" s="3"/>
      <c r="D132" s="3"/>
      <c r="E132" s="3"/>
      <c r="F132" s="3"/>
      <c r="G132" s="3"/>
      <c r="H132" s="3"/>
      <c r="I132" s="32"/>
      <c r="J132" s="3"/>
      <c r="K132" s="33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32"/>
      <c r="J133" s="3"/>
      <c r="K133" s="33"/>
    </row>
    <row r="134" spans="1:11" x14ac:dyDescent="0.25">
      <c r="A134" s="4"/>
      <c r="B134" s="3"/>
      <c r="C134" s="3"/>
      <c r="D134" s="3"/>
      <c r="E134" s="3"/>
      <c r="F134" s="3"/>
      <c r="G134" s="3"/>
      <c r="H134" s="3"/>
      <c r="I134" s="32"/>
      <c r="J134" s="3"/>
      <c r="K134" s="33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32"/>
      <c r="J135" s="3"/>
      <c r="K135" s="33"/>
    </row>
    <row r="136" spans="1:11" x14ac:dyDescent="0.25">
      <c r="A136" s="4"/>
      <c r="B136" s="3"/>
      <c r="C136" s="3"/>
      <c r="D136" s="3"/>
      <c r="E136" s="3"/>
      <c r="F136" s="3"/>
      <c r="G136" s="3"/>
      <c r="H136" s="3"/>
      <c r="I136" s="32"/>
      <c r="J136" s="3"/>
      <c r="K136" s="33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32"/>
      <c r="J137" s="3"/>
      <c r="K137" s="33"/>
    </row>
    <row r="138" spans="1:11" x14ac:dyDescent="0.25">
      <c r="A138" s="4"/>
      <c r="B138" s="3"/>
      <c r="C138" s="3"/>
      <c r="D138" s="3"/>
      <c r="E138" s="3"/>
      <c r="F138" s="3"/>
      <c r="G138" s="3"/>
      <c r="H138" s="3"/>
      <c r="I138" s="32"/>
      <c r="J138" s="3"/>
      <c r="K138" s="33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32"/>
      <c r="J139" s="3"/>
      <c r="K139" s="33"/>
    </row>
    <row r="140" spans="1:11" x14ac:dyDescent="0.25">
      <c r="A140" s="4"/>
      <c r="B140" s="3"/>
      <c r="C140" s="3"/>
      <c r="D140" s="3"/>
      <c r="E140" s="3"/>
      <c r="F140" s="3"/>
      <c r="G140" s="3"/>
      <c r="H140" s="3"/>
      <c r="I140" s="32"/>
      <c r="J140" s="3"/>
      <c r="K140" s="33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32"/>
      <c r="J141" s="3"/>
      <c r="K141" s="33"/>
    </row>
    <row r="142" spans="1:11" x14ac:dyDescent="0.25">
      <c r="A142" s="4"/>
      <c r="B142" s="3"/>
      <c r="C142" s="3"/>
      <c r="D142" s="3"/>
      <c r="E142" s="3"/>
      <c r="F142" s="3"/>
      <c r="G142" s="3"/>
      <c r="H142" s="3"/>
      <c r="I142" s="32"/>
      <c r="J142" s="3"/>
      <c r="K142" s="33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32"/>
      <c r="J143" s="3"/>
      <c r="K143" s="33"/>
    </row>
    <row r="144" spans="1:11" x14ac:dyDescent="0.25">
      <c r="A144" s="4"/>
      <c r="B144" s="3"/>
      <c r="C144" s="3"/>
      <c r="D144" s="3"/>
      <c r="E144" s="3"/>
      <c r="F144" s="3"/>
      <c r="G144" s="3"/>
      <c r="H144" s="3"/>
      <c r="I144" s="32"/>
      <c r="J144" s="3"/>
      <c r="K144" s="33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32"/>
      <c r="J145" s="3"/>
      <c r="K145" s="33"/>
    </row>
    <row r="146" spans="1:11" x14ac:dyDescent="0.25">
      <c r="A146" s="4"/>
      <c r="B146" s="3"/>
      <c r="C146" s="3"/>
      <c r="D146" s="3"/>
      <c r="E146" s="3"/>
      <c r="F146" s="3"/>
      <c r="G146" s="3"/>
      <c r="H146" s="3"/>
      <c r="I146" s="32"/>
      <c r="J146" s="3"/>
      <c r="K146" s="33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32"/>
      <c r="J147" s="3"/>
      <c r="K147" s="33"/>
    </row>
    <row r="148" spans="1:11" x14ac:dyDescent="0.25">
      <c r="A148" s="4"/>
      <c r="B148" s="3"/>
      <c r="C148" s="3"/>
      <c r="D148" s="3"/>
      <c r="E148" s="3"/>
      <c r="F148" s="3"/>
      <c r="G148" s="3"/>
      <c r="H148" s="3"/>
      <c r="I148" s="32"/>
      <c r="J148" s="3"/>
      <c r="K148" s="33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32"/>
      <c r="J149" s="3"/>
      <c r="K149" s="33"/>
    </row>
    <row r="150" spans="1:11" x14ac:dyDescent="0.25">
      <c r="A150" s="4"/>
      <c r="B150" s="3"/>
      <c r="C150" s="3"/>
      <c r="D150" s="3"/>
      <c r="E150" s="3"/>
      <c r="F150" s="3"/>
      <c r="G150" s="3"/>
      <c r="H150" s="3"/>
      <c r="I150" s="32"/>
      <c r="J150" s="3"/>
      <c r="K150" s="33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32"/>
      <c r="J151" s="3"/>
      <c r="K151" s="33"/>
    </row>
    <row r="152" spans="1:11" x14ac:dyDescent="0.25">
      <c r="A152" s="4"/>
      <c r="B152" s="3"/>
      <c r="C152" s="3"/>
      <c r="D152" s="3"/>
      <c r="E152" s="3"/>
      <c r="F152" s="3"/>
      <c r="G152" s="3"/>
      <c r="H152" s="3"/>
      <c r="I152" s="32"/>
      <c r="J152" s="3"/>
      <c r="K152" s="33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32"/>
      <c r="J153" s="3"/>
      <c r="K153" s="33"/>
    </row>
    <row r="154" spans="1:11" x14ac:dyDescent="0.25">
      <c r="A154" s="4"/>
      <c r="B154" s="3"/>
      <c r="C154" s="3"/>
      <c r="D154" s="3"/>
      <c r="E154" s="3"/>
      <c r="F154" s="3"/>
      <c r="G154" s="3"/>
      <c r="H154" s="3"/>
      <c r="I154" s="32"/>
      <c r="J154" s="3"/>
      <c r="K154" s="33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32"/>
      <c r="J155" s="3"/>
      <c r="K155" s="33"/>
    </row>
    <row r="156" spans="1:11" x14ac:dyDescent="0.25">
      <c r="A156" s="4"/>
      <c r="B156" s="3"/>
      <c r="C156" s="3"/>
      <c r="D156" s="3"/>
      <c r="E156" s="3"/>
      <c r="F156" s="3"/>
      <c r="G156" s="3"/>
      <c r="H156" s="3"/>
      <c r="I156" s="32"/>
      <c r="J156" s="3"/>
      <c r="K156" s="33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32"/>
      <c r="J157" s="3"/>
      <c r="K157" s="33"/>
    </row>
    <row r="158" spans="1:11" x14ac:dyDescent="0.25">
      <c r="A158" s="4"/>
      <c r="B158" s="3"/>
      <c r="C158" s="3"/>
      <c r="D158" s="3"/>
      <c r="E158" s="3"/>
      <c r="F158" s="3"/>
      <c r="G158" s="3"/>
      <c r="H158" s="3"/>
      <c r="I158" s="32"/>
      <c r="J158" s="3"/>
      <c r="K158" s="33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32"/>
      <c r="J159" s="3"/>
      <c r="K159" s="33"/>
    </row>
    <row r="160" spans="1:11" x14ac:dyDescent="0.25">
      <c r="A160" s="4"/>
      <c r="B160" s="3"/>
      <c r="C160" s="3"/>
      <c r="D160" s="3"/>
      <c r="E160" s="3"/>
      <c r="F160" s="3"/>
      <c r="G160" s="3"/>
      <c r="H160" s="3"/>
      <c r="I160" s="32"/>
      <c r="J160" s="3"/>
      <c r="K160" s="33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32"/>
      <c r="J161" s="3"/>
      <c r="K161" s="33"/>
    </row>
    <row r="162" spans="1:11" x14ac:dyDescent="0.25">
      <c r="A162" s="4"/>
      <c r="B162" s="3"/>
      <c r="C162" s="3"/>
      <c r="D162" s="3"/>
      <c r="E162" s="3"/>
      <c r="F162" s="3"/>
      <c r="G162" s="3"/>
      <c r="H162" s="3"/>
      <c r="I162" s="32"/>
      <c r="J162" s="3"/>
      <c r="K162" s="33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32"/>
      <c r="J163" s="3"/>
      <c r="K163" s="33"/>
    </row>
    <row r="164" spans="1:11" x14ac:dyDescent="0.25">
      <c r="A164" s="4"/>
      <c r="B164" s="3"/>
      <c r="C164" s="3"/>
      <c r="D164" s="3"/>
      <c r="E164" s="3"/>
      <c r="F164" s="3"/>
      <c r="G164" s="3"/>
      <c r="H164" s="3"/>
      <c r="I164" s="32"/>
      <c r="J164" s="3"/>
      <c r="K164" s="33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32"/>
      <c r="J165" s="3"/>
      <c r="K165" s="33"/>
    </row>
    <row r="166" spans="1:11" x14ac:dyDescent="0.25">
      <c r="A166" s="4"/>
      <c r="B166" s="3"/>
      <c r="C166" s="3"/>
      <c r="D166" s="3"/>
      <c r="E166" s="3"/>
      <c r="F166" s="3"/>
      <c r="G166" s="3"/>
      <c r="H166" s="3"/>
      <c r="I166" s="32"/>
      <c r="J166" s="3"/>
      <c r="K166" s="33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32"/>
      <c r="J167" s="3"/>
      <c r="K167" s="33"/>
    </row>
    <row r="168" spans="1:11" x14ac:dyDescent="0.25">
      <c r="A168" s="4"/>
      <c r="B168" s="3"/>
      <c r="C168" s="3"/>
      <c r="D168" s="3"/>
      <c r="E168" s="3"/>
      <c r="F168" s="3"/>
      <c r="G168" s="3"/>
      <c r="H168" s="3"/>
      <c r="I168" s="32"/>
      <c r="J168" s="3"/>
      <c r="K168" s="33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32"/>
      <c r="J169" s="3"/>
      <c r="K169" s="33"/>
    </row>
    <row r="170" spans="1:11" x14ac:dyDescent="0.25">
      <c r="A170" s="4"/>
      <c r="B170" s="3"/>
      <c r="C170" s="3"/>
      <c r="D170" s="3"/>
      <c r="E170" s="3"/>
      <c r="F170" s="3"/>
      <c r="G170" s="3"/>
      <c r="H170" s="3"/>
      <c r="I170" s="32"/>
      <c r="J170" s="3"/>
      <c r="K170" s="33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32"/>
      <c r="J171" s="3"/>
      <c r="K171" s="33"/>
    </row>
    <row r="172" spans="1:11" x14ac:dyDescent="0.25">
      <c r="A172" s="4"/>
      <c r="B172" s="3"/>
      <c r="C172" s="3"/>
      <c r="D172" s="3"/>
      <c r="E172" s="3"/>
      <c r="F172" s="3"/>
      <c r="G172" s="3"/>
      <c r="H172" s="3"/>
      <c r="I172" s="32"/>
      <c r="J172" s="3"/>
      <c r="K172" s="33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32"/>
      <c r="J173" s="3"/>
      <c r="K173" s="33"/>
    </row>
    <row r="174" spans="1:11" x14ac:dyDescent="0.25">
      <c r="A174" s="4"/>
      <c r="B174" s="3"/>
      <c r="C174" s="3"/>
      <c r="D174" s="3"/>
      <c r="E174" s="3"/>
      <c r="F174" s="3"/>
      <c r="G174" s="3"/>
      <c r="H174" s="3"/>
      <c r="I174" s="32"/>
      <c r="J174" s="3"/>
      <c r="K174" s="33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32"/>
      <c r="J175" s="3"/>
      <c r="K175" s="33"/>
    </row>
    <row r="176" spans="1:11" x14ac:dyDescent="0.25">
      <c r="A176" s="4"/>
      <c r="B176" s="3"/>
      <c r="C176" s="3"/>
      <c r="D176" s="3"/>
      <c r="E176" s="3"/>
      <c r="F176" s="3"/>
      <c r="G176" s="3"/>
      <c r="H176" s="3"/>
      <c r="I176" s="32"/>
      <c r="J176" s="3"/>
      <c r="K176" s="33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32"/>
      <c r="J177" s="3"/>
      <c r="K177" s="33"/>
    </row>
    <row r="178" spans="1:11" x14ac:dyDescent="0.25">
      <c r="A178" s="4"/>
      <c r="B178" s="3"/>
      <c r="C178" s="3"/>
      <c r="D178" s="3"/>
      <c r="E178" s="3"/>
      <c r="F178" s="3"/>
      <c r="G178" s="3"/>
      <c r="H178" s="3"/>
      <c r="I178" s="32"/>
      <c r="J178" s="3"/>
      <c r="K178" s="33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32"/>
      <c r="J179" s="3"/>
      <c r="K179" s="33"/>
    </row>
    <row r="180" spans="1:11" x14ac:dyDescent="0.25">
      <c r="A180" s="4"/>
      <c r="B180" s="3"/>
      <c r="C180" s="3"/>
      <c r="D180" s="3"/>
      <c r="E180" s="3"/>
      <c r="F180" s="3"/>
      <c r="G180" s="3"/>
      <c r="H180" s="3"/>
      <c r="I180" s="32"/>
      <c r="J180" s="3"/>
      <c r="K180" s="33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32"/>
      <c r="J181" s="3"/>
      <c r="K181" s="33"/>
    </row>
    <row r="182" spans="1:11" x14ac:dyDescent="0.25">
      <c r="A182" s="4"/>
      <c r="B182" s="3"/>
      <c r="C182" s="3"/>
      <c r="D182" s="3"/>
      <c r="E182" s="3"/>
      <c r="F182" s="3"/>
      <c r="G182" s="3"/>
      <c r="H182" s="3"/>
      <c r="I182" s="32"/>
      <c r="J182" s="3"/>
      <c r="K182" s="33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32"/>
      <c r="J183" s="3"/>
      <c r="K183" s="33"/>
    </row>
    <row r="184" spans="1:11" x14ac:dyDescent="0.25">
      <c r="A184" s="4"/>
      <c r="B184" s="3"/>
      <c r="C184" s="3"/>
      <c r="D184" s="3"/>
      <c r="E184" s="3"/>
      <c r="F184" s="3"/>
      <c r="G184" s="3"/>
      <c r="H184" s="3"/>
      <c r="I184" s="32"/>
      <c r="J184" s="3"/>
      <c r="K184" s="33"/>
    </row>
    <row r="185" spans="1:11" x14ac:dyDescent="0.25">
      <c r="A185" s="4"/>
      <c r="B185" s="3"/>
      <c r="C185" s="3"/>
      <c r="D185" s="3"/>
      <c r="E185" s="3"/>
      <c r="F185" s="3"/>
      <c r="G185" s="3"/>
      <c r="H185" s="3"/>
      <c r="I185" s="32"/>
      <c r="J185" s="3"/>
      <c r="K185" s="33"/>
    </row>
    <row r="186" spans="1:11" x14ac:dyDescent="0.25">
      <c r="A186" s="4"/>
      <c r="B186" s="3"/>
      <c r="C186" s="3"/>
      <c r="D186" s="3"/>
      <c r="E186" s="3"/>
      <c r="F186" s="3"/>
      <c r="G186" s="3"/>
      <c r="H186" s="3"/>
      <c r="I186" s="32"/>
      <c r="J186" s="3"/>
      <c r="K186" s="33"/>
    </row>
    <row r="187" spans="1:11" x14ac:dyDescent="0.25">
      <c r="A187" s="4"/>
      <c r="B187" s="3"/>
      <c r="C187" s="3"/>
      <c r="D187" s="3"/>
      <c r="E187" s="3"/>
      <c r="F187" s="3"/>
      <c r="G187" s="3"/>
      <c r="H187" s="3"/>
      <c r="I187" s="32"/>
      <c r="J187" s="3"/>
      <c r="K187" s="33"/>
    </row>
    <row r="188" spans="1:11" x14ac:dyDescent="0.25">
      <c r="A188" s="4"/>
      <c r="B188" s="3"/>
      <c r="C188" s="3"/>
      <c r="D188" s="3"/>
      <c r="E188" s="3"/>
      <c r="F188" s="3"/>
      <c r="G188" s="3"/>
      <c r="H188" s="3"/>
      <c r="I188" s="32"/>
      <c r="J188" s="3"/>
      <c r="K188" s="33"/>
    </row>
    <row r="189" spans="1:11" x14ac:dyDescent="0.25">
      <c r="A189" s="4"/>
      <c r="B189" s="3"/>
      <c r="C189" s="3"/>
      <c r="D189" s="3"/>
      <c r="E189" s="3"/>
      <c r="F189" s="3"/>
      <c r="G189" s="3"/>
      <c r="H189" s="3"/>
      <c r="I189" s="32"/>
      <c r="J189" s="3"/>
      <c r="K189" s="33"/>
    </row>
    <row r="190" spans="1:11" x14ac:dyDescent="0.25">
      <c r="A190" s="4"/>
      <c r="B190" s="3"/>
      <c r="C190" s="3"/>
      <c r="D190" s="3"/>
      <c r="E190" s="3"/>
      <c r="F190" s="3"/>
      <c r="G190" s="3"/>
      <c r="H190" s="3"/>
      <c r="I190" s="32"/>
      <c r="J190" s="3"/>
      <c r="K190" s="33"/>
    </row>
    <row r="191" spans="1:11" x14ac:dyDescent="0.25">
      <c r="A191" s="4"/>
      <c r="B191" s="3"/>
      <c r="C191" s="3"/>
      <c r="D191" s="3"/>
      <c r="E191" s="3"/>
      <c r="F191" s="3"/>
      <c r="G191" s="3"/>
      <c r="H191" s="3"/>
      <c r="I191" s="32"/>
      <c r="J191" s="3"/>
      <c r="K191" s="33"/>
    </row>
    <row r="192" spans="1:11" x14ac:dyDescent="0.25">
      <c r="A192" s="4"/>
      <c r="B192" s="3"/>
      <c r="C192" s="3"/>
      <c r="D192" s="3"/>
      <c r="E192" s="3"/>
      <c r="F192" s="3"/>
      <c r="G192" s="3"/>
      <c r="H192" s="3"/>
      <c r="I192" s="32"/>
      <c r="J192" s="3"/>
      <c r="K192" s="33"/>
    </row>
    <row r="193" spans="1:11" x14ac:dyDescent="0.25">
      <c r="A193" s="4"/>
      <c r="B193" s="3"/>
      <c r="C193" s="3"/>
      <c r="D193" s="3"/>
      <c r="E193" s="3"/>
      <c r="F193" s="3"/>
      <c r="G193" s="3"/>
      <c r="H193" s="3"/>
      <c r="I193" s="32"/>
      <c r="J193" s="3"/>
      <c r="K193" s="33"/>
    </row>
    <row r="194" spans="1:11" x14ac:dyDescent="0.25">
      <c r="A194" s="4"/>
      <c r="B194" s="3"/>
      <c r="C194" s="3"/>
      <c r="D194" s="3"/>
      <c r="E194" s="3"/>
      <c r="F194" s="3"/>
      <c r="G194" s="3"/>
      <c r="H194" s="3"/>
      <c r="I194" s="32"/>
      <c r="J194" s="3"/>
      <c r="K194" s="33"/>
    </row>
    <row r="195" spans="1:11" x14ac:dyDescent="0.25">
      <c r="A195" s="4"/>
      <c r="B195" s="3"/>
      <c r="C195" s="3"/>
      <c r="D195" s="3"/>
      <c r="E195" s="3"/>
      <c r="F195" s="3"/>
      <c r="G195" s="3"/>
      <c r="H195" s="3"/>
      <c r="I195" s="32"/>
      <c r="J195" s="3"/>
      <c r="K195" s="33"/>
    </row>
    <row r="196" spans="1:11" x14ac:dyDescent="0.25">
      <c r="A196" s="4"/>
      <c r="B196" s="3"/>
      <c r="C196" s="3"/>
      <c r="D196" s="3"/>
      <c r="E196" s="3"/>
      <c r="F196" s="3"/>
      <c r="G196" s="3"/>
      <c r="H196" s="3"/>
      <c r="I196" s="32"/>
      <c r="J196" s="3"/>
      <c r="K196" s="33"/>
    </row>
    <row r="197" spans="1:11" x14ac:dyDescent="0.25">
      <c r="A197" s="4"/>
      <c r="B197" s="3"/>
      <c r="C197" s="3"/>
      <c r="D197" s="3"/>
      <c r="E197" s="3"/>
      <c r="F197" s="3"/>
      <c r="G197" s="3"/>
      <c r="H197" s="3"/>
      <c r="I197" s="32"/>
      <c r="J197" s="3"/>
      <c r="K197" s="33"/>
    </row>
    <row r="198" spans="1:11" ht="19" thickBot="1" x14ac:dyDescent="0.3">
      <c r="A198" s="7"/>
      <c r="B198" s="39"/>
      <c r="C198" s="39"/>
      <c r="D198" s="39"/>
      <c r="E198" s="39"/>
      <c r="F198" s="39"/>
      <c r="G198" s="39"/>
      <c r="H198" s="39"/>
      <c r="I198" s="40"/>
      <c r="J198" s="3"/>
      <c r="K198" s="41"/>
    </row>
  </sheetData>
  <conditionalFormatting sqref="A1:B1 D1:K1 B2:K4 C5:K5 B6:K11 F13:K19 B14:E19 A20:K1048576">
    <cfRule type="expression" dxfId="2" priority="3">
      <formula>MOD(ROW(),2)=0</formula>
    </cfRule>
  </conditionalFormatting>
  <conditionalFormatting sqref="B5">
    <cfRule type="expression" dxfId="1" priority="2">
      <formula>MOD(ROW(),2)=0</formula>
    </cfRule>
  </conditionalFormatting>
  <conditionalFormatting sqref="D12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Templates</vt:lpstr>
      <vt:lpstr>BuffAir</vt:lpstr>
      <vt:lpstr>MD80</vt:lpstr>
      <vt:lpstr>B717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Tyler Brining</cp:lastModifiedBy>
  <dcterms:created xsi:type="dcterms:W3CDTF">2024-11-07T17:59:15Z</dcterms:created>
  <dcterms:modified xsi:type="dcterms:W3CDTF">2026-09-14T21:49:01Z</dcterms:modified>
</cp:coreProperties>
</file>