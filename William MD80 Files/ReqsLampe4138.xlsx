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iamlampe/Documents/MATLAB/ASEN 4138/AES-AircraftDesignToolbox/MAIN/Input Excel Sheets/Point Performance Requirements/"/>
    </mc:Choice>
  </mc:AlternateContent>
  <xr:revisionPtr revIDLastSave="0" documentId="13_ncr:1_{BD2CEEC2-18AA-4F4C-892D-572D98A0E4E7}" xr6:coauthVersionLast="47" xr6:coauthVersionMax="47" xr10:uidLastSave="{00000000-0000-0000-0000-000000000000}"/>
  <bookViews>
    <workbookView xWindow="0" yWindow="660" windowWidth="30240" windowHeight="18980" activeTab="5" xr2:uid="{AC12A90C-16A5-0547-A6DB-57534C200D25}"/>
  </bookViews>
  <sheets>
    <sheet name="Templates" sheetId="2" r:id="rId1"/>
    <sheet name="MD80_1" sheetId="9" r:id="rId2"/>
    <sheet name="MD80_2" sheetId="10" r:id="rId3"/>
    <sheet name="MD80_3" sheetId="11" r:id="rId4"/>
    <sheet name="MD80_4" sheetId="12" r:id="rId5"/>
    <sheet name="MD80_5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3" l="1"/>
  <c r="G11" i="13"/>
  <c r="G9" i="13"/>
  <c r="E9" i="13"/>
  <c r="E11" i="13" s="1"/>
  <c r="E13" i="13" s="1"/>
  <c r="G7" i="13"/>
  <c r="E5" i="13"/>
  <c r="F3" i="13"/>
  <c r="G13" i="12"/>
  <c r="G11" i="12"/>
  <c r="G9" i="12"/>
  <c r="E9" i="12"/>
  <c r="E11" i="12" s="1"/>
  <c r="E13" i="12" s="1"/>
  <c r="G7" i="12"/>
  <c r="E5" i="12"/>
  <c r="F3" i="12"/>
  <c r="G13" i="11"/>
  <c r="G11" i="11"/>
  <c r="G9" i="11"/>
  <c r="E9" i="11"/>
  <c r="E11" i="11" s="1"/>
  <c r="E13" i="11" s="1"/>
  <c r="G7" i="11"/>
  <c r="E5" i="11"/>
  <c r="F3" i="11"/>
  <c r="G13" i="10"/>
  <c r="G11" i="10"/>
  <c r="G9" i="10"/>
  <c r="E9" i="10"/>
  <c r="E11" i="10" s="1"/>
  <c r="E13" i="10" s="1"/>
  <c r="G7" i="10"/>
  <c r="E5" i="10"/>
  <c r="F3" i="10"/>
  <c r="E5" i="9"/>
  <c r="F3" i="9"/>
  <c r="E9" i="9"/>
  <c r="E11" i="9" s="1"/>
  <c r="E13" i="9" s="1"/>
  <c r="G13" i="9"/>
  <c r="G11" i="9"/>
  <c r="G9" i="9"/>
  <c r="G7" i="9"/>
</calcChain>
</file>

<file path=xl/sharedStrings.xml><?xml version="1.0" encoding="utf-8"?>
<sst xmlns="http://schemas.openxmlformats.org/spreadsheetml/2006/main" count="441" uniqueCount="39">
  <si>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</si>
  <si>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</si>
  <si>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</si>
  <si>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</si>
  <si>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</si>
  <si>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</si>
  <si>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</si>
  <si>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</si>
  <si>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</si>
  <si>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</si>
  <si>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</si>
  <si>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</si>
  <si>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</si>
  <si>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</si>
  <si>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</si>
  <si>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</si>
  <si>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</si>
  <si>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</si>
  <si>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</si>
  <si>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</si>
  <si>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</si>
  <si>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</si>
  <si>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</si>
  <si>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</si>
  <si>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</si>
  <si>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</si>
  <si>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</si>
  <si>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</si>
  <si>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</si>
  <si>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</si>
  <si>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</si>
  <si>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</si>
  <si>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Landing Distance</t>
  </si>
  <si>
    <t>Landing Distance [ft]</t>
  </si>
  <si>
    <t>VTOL</t>
  </si>
  <si>
    <t>Altitude[ft]</t>
  </si>
  <si>
    <t>V_Climb [ft/s]</t>
  </si>
  <si>
    <t>MD 80 Takeoff Reqs</t>
  </si>
  <si>
    <t>MD 80 Landing Reqs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</si>
</sst>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theme="1"/>
      <name val="Arial Unicode MS"/>
      <family val="2"/>
    </font>
    <font>
      <b/>
      <sz val="12"/>
      <color theme="0"/>
      <name val="Arial Unicode MS"/>
      <family val="2"/>
    </font>
    <font>
      <sz val="12"/>
      <color theme="1"/>
      <name val="Aptos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2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2" borderId="1" xfId="0" applyFont="1" applyFill="1" applyBorder="1"/>
    <xf numFmtId="0" fontId="2" fillId="0" borderId="7" xfId="0" applyFont="1" applyBorder="1"/>
    <xf numFmtId="0" fontId="1" fillId="2" borderId="2" xfId="0" applyFont="1" applyFill="1" applyBorder="1"/>
    <xf numFmtId="0" fontId="1" fillId="2" borderId="6" xfId="0" applyFont="1" applyFill="1" applyBorder="1"/>
    <xf numFmtId="0" fontId="3" fillId="2" borderId="2" xfId="0" applyFont="1" applyFill="1" applyBorder="1"/>
    <xf numFmtId="0" fontId="3" fillId="2" borderId="1" xfId="0" applyFont="1" applyFill="1" applyBorder="1"/>
    <xf numFmtId="0" fontId="3" fillId="0" borderId="0" xfId="0" applyFont="1"/>
    <xf numFmtId="0" fontId="2" fillId="0" borderId="9" xfId="0" applyFont="1" applyBorder="1"/>
    <xf numFmtId="0" fontId="2" fillId="2" borderId="7" xfId="0" applyFont="1" applyFill="1" applyBorder="1"/>
    <xf numFmtId="0" fontId="2" fillId="2" borderId="9" xfId="0" applyFont="1" applyFill="1" applyBorder="1"/>
    <xf numFmtId="0" fontId="2" fillId="2" borderId="2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4" fillId="3" borderId="8" xfId="0" applyFont="1" applyFill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" fillId="2" borderId="1" xfId="0" applyFont="1" applyFill="1" applyBorder="1"/>
  </cellXfs>
  <cellStyles count="1">
    <cellStyle name="Normal" xfId="0" builtinId="0"/>
  </cellStyles>
  <dxfs count="27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topLeftCell="C1" zoomScale="113" workbookViewId="0">
      <selection activeCell="C24" sqref="C24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8" t="s">
        <v>12</v>
      </c>
      <c r="B1" s="9" t="s">
        <v>13</v>
      </c>
      <c r="C1" s="9" t="s">
        <v>1</v>
      </c>
      <c r="D1" s="9" t="s">
        <v>14</v>
      </c>
      <c r="E1" s="9" t="s">
        <v>15</v>
      </c>
      <c r="F1" s="9" t="s">
        <v>0</v>
      </c>
      <c r="G1" s="9" t="s">
        <v>16</v>
      </c>
      <c r="H1" s="9" t="s">
        <v>17</v>
      </c>
      <c r="I1" s="9" t="s">
        <v>19</v>
      </c>
      <c r="J1" s="10"/>
    </row>
    <row r="2" spans="1:10" x14ac:dyDescent="0.25">
      <c r="A2" s="5"/>
      <c r="B2" s="3"/>
      <c r="C2" s="3"/>
      <c r="D2" s="3"/>
      <c r="E2" s="6"/>
      <c r="F2" s="3"/>
      <c r="G2" s="3"/>
      <c r="H2" s="3"/>
      <c r="I2" s="11"/>
      <c r="J2" s="3"/>
    </row>
    <row r="3" spans="1:10" x14ac:dyDescent="0.25">
      <c r="A3" s="12" t="s">
        <v>32</v>
      </c>
      <c r="B3" s="13" t="s">
        <v>13</v>
      </c>
      <c r="C3" s="13" t="s">
        <v>1</v>
      </c>
      <c r="D3" s="13" t="s">
        <v>15</v>
      </c>
      <c r="E3" s="13" t="s">
        <v>0</v>
      </c>
      <c r="F3" s="13" t="s">
        <v>16</v>
      </c>
      <c r="G3" s="13" t="s">
        <v>33</v>
      </c>
      <c r="H3" s="13" t="s">
        <v>19</v>
      </c>
      <c r="I3" s="13"/>
      <c r="J3" s="10"/>
    </row>
    <row r="4" spans="1:10" x14ac:dyDescent="0.25">
      <c r="A4" s="5"/>
      <c r="B4" s="3"/>
      <c r="C4" s="3"/>
      <c r="D4" s="3"/>
      <c r="E4" s="6"/>
      <c r="F4" s="3"/>
      <c r="G4" s="3"/>
      <c r="H4" s="3"/>
      <c r="I4" s="11"/>
      <c r="J4" s="3"/>
    </row>
    <row r="5" spans="1:10" x14ac:dyDescent="0.25">
      <c r="A5" s="12" t="s">
        <v>20</v>
      </c>
      <c r="B5" s="13" t="s">
        <v>1</v>
      </c>
      <c r="C5" s="13" t="s">
        <v>15</v>
      </c>
      <c r="D5" s="13" t="s">
        <v>21</v>
      </c>
      <c r="E5" s="13" t="s">
        <v>19</v>
      </c>
      <c r="F5" s="13"/>
      <c r="G5" s="13"/>
      <c r="H5" s="13"/>
      <c r="I5" s="13"/>
      <c r="J5" s="10"/>
    </row>
    <row r="6" spans="1:10" x14ac:dyDescent="0.25">
      <c r="A6" s="5"/>
      <c r="B6" s="3"/>
      <c r="C6" s="3"/>
      <c r="D6" s="3"/>
      <c r="E6" s="6"/>
      <c r="F6" s="3"/>
      <c r="G6" s="3"/>
      <c r="H6" s="3"/>
      <c r="I6" s="11"/>
      <c r="J6" s="3"/>
    </row>
    <row r="7" spans="1:10" s="16" customFormat="1" x14ac:dyDescent="0.25">
      <c r="A7" s="14" t="s">
        <v>22</v>
      </c>
      <c r="B7" s="15" t="s">
        <v>13</v>
      </c>
      <c r="C7" s="15" t="s">
        <v>1</v>
      </c>
      <c r="D7" s="15" t="s">
        <v>23</v>
      </c>
      <c r="E7" s="15" t="s">
        <v>24</v>
      </c>
      <c r="F7" s="15" t="s">
        <v>14</v>
      </c>
      <c r="G7" s="15" t="s">
        <v>25</v>
      </c>
      <c r="H7" s="15" t="s">
        <v>26</v>
      </c>
      <c r="I7" s="15" t="s">
        <v>27</v>
      </c>
      <c r="J7" s="15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16" customFormat="1" x14ac:dyDescent="0.25">
      <c r="A9" s="14" t="s">
        <v>28</v>
      </c>
      <c r="B9" s="15" t="s">
        <v>13</v>
      </c>
      <c r="C9" s="15" t="s">
        <v>1</v>
      </c>
      <c r="D9" s="15" t="s">
        <v>23</v>
      </c>
      <c r="E9" s="15" t="s">
        <v>24</v>
      </c>
      <c r="F9" s="15" t="s">
        <v>14</v>
      </c>
      <c r="G9" s="15" t="s">
        <v>25</v>
      </c>
      <c r="H9" s="15" t="s">
        <v>26</v>
      </c>
      <c r="I9" s="15" t="s">
        <v>27</v>
      </c>
      <c r="J9" s="15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16" customFormat="1" x14ac:dyDescent="0.25">
      <c r="A11" s="14" t="s">
        <v>29</v>
      </c>
      <c r="B11" s="15" t="s">
        <v>13</v>
      </c>
      <c r="C11" s="15" t="s">
        <v>1</v>
      </c>
      <c r="D11" s="15" t="s">
        <v>23</v>
      </c>
      <c r="E11" s="15" t="s">
        <v>24</v>
      </c>
      <c r="F11" s="15" t="s">
        <v>14</v>
      </c>
      <c r="G11" s="15" t="s">
        <v>25</v>
      </c>
      <c r="H11" s="15" t="s">
        <v>26</v>
      </c>
      <c r="I11" s="15" t="s">
        <v>27</v>
      </c>
      <c r="J11" s="15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16" customFormat="1" x14ac:dyDescent="0.25">
      <c r="A13" s="14" t="s">
        <v>31</v>
      </c>
      <c r="B13" s="15" t="s">
        <v>13</v>
      </c>
      <c r="C13" s="15" t="s">
        <v>1</v>
      </c>
      <c r="D13" s="15" t="s">
        <v>23</v>
      </c>
      <c r="E13" s="15" t="s">
        <v>24</v>
      </c>
      <c r="F13" s="15" t="s">
        <v>14</v>
      </c>
      <c r="G13" s="15" t="s">
        <v>25</v>
      </c>
      <c r="H13" s="15" t="s">
        <v>26</v>
      </c>
      <c r="I13" s="15" t="s">
        <v>27</v>
      </c>
      <c r="J13" s="15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34</v>
      </c>
      <c r="B15" s="1" t="s">
        <v>13</v>
      </c>
      <c r="C15" s="1" t="s">
        <v>35</v>
      </c>
      <c r="D15" s="1" t="s">
        <v>36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26" priority="1">
      <formula>MOD(ROW(),2)=0</formula>
    </cfRule>
  </conditionalFormatting>
  <conditionalFormatting sqref="B1:J4 B7:J14">
    <cfRule type="expression" dxfId="25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155B-479D-43E2-9562-C35913E178E8}">
  <dimension ref="A1:K186"/>
  <sheetViews>
    <sheetView zoomScale="113" workbookViewId="0">
      <selection activeCell="F6" sqref="F6"/>
    </sheetView>
  </sheetViews>
  <sheetFormatPr baseColWidth="10" defaultColWidth="10.83203125" defaultRowHeight="18" x14ac:dyDescent="0.25"/>
  <cols>
    <col min="1" max="1" width="15.33203125" style="2" bestFit="1" customWidth="1"/>
    <col min="2" max="2" width="19.1640625" style="2" bestFit="1" customWidth="1"/>
    <col min="3" max="3" width="16.1640625" style="2" bestFit="1" customWidth="1"/>
    <col min="4" max="4" width="11.6640625" style="2" bestFit="1" customWidth="1"/>
    <col min="5" max="5" width="18.6640625" style="2" bestFit="1" customWidth="1"/>
    <col min="6" max="6" width="13.6640625" style="2" bestFit="1" customWidth="1"/>
    <col min="7" max="7" width="13.5" style="2" bestFit="1" customWidth="1"/>
    <col min="8" max="8" width="21.1640625" style="2" bestFit="1" customWidth="1"/>
    <col min="9" max="9" width="20.6640625" style="2" bestFit="1" customWidth="1"/>
    <col min="10" max="10" width="19.6640625" style="2" bestFit="1" customWidth="1"/>
    <col min="11" max="11" width="15.33203125" style="2" bestFit="1" customWidth="1"/>
    <col min="12" max="16384" width="10.83203125" style="2"/>
  </cols>
  <sheetData>
    <row r="1" spans="1:11" ht="19" thickBot="1" x14ac:dyDescent="0.3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 x14ac:dyDescent="0.25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 x14ac:dyDescent="0.25">
      <c r="A3" s="5"/>
      <c r="B3" s="5"/>
      <c r="C3" s="3">
        <v>1</v>
      </c>
      <c r="D3" s="3">
        <v>7800</v>
      </c>
      <c r="E3" s="3" t="s">
        <v>18</v>
      </c>
      <c r="F3" s="6">
        <f>3.2*0.6</f>
        <v>1.92</v>
      </c>
      <c r="G3" s="3">
        <v>0.03</v>
      </c>
      <c r="H3" s="26">
        <v>3.5000000000000003E-2</v>
      </c>
      <c r="I3" s="25">
        <v>8000</v>
      </c>
      <c r="J3" s="11" t="s">
        <v>37</v>
      </c>
      <c r="K3" s="3"/>
    </row>
    <row r="4" spans="1:11" x14ac:dyDescent="0.25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 x14ac:dyDescent="0.25">
      <c r="A5" s="5"/>
      <c r="B5" s="5"/>
      <c r="C5" s="3">
        <v>1</v>
      </c>
      <c r="D5" s="3">
        <v>439</v>
      </c>
      <c r="E5">
        <f>3.2*0.8</f>
        <v>2.5600000000000005</v>
      </c>
      <c r="F5" s="27">
        <v>0.02</v>
      </c>
      <c r="G5" s="27">
        <v>3.5000000000000003E-2</v>
      </c>
      <c r="H5" s="25">
        <v>2120</v>
      </c>
      <c r="I5" s="3" t="s">
        <v>38</v>
      </c>
      <c r="J5" s="11"/>
      <c r="K5" s="3"/>
    </row>
    <row r="6" spans="1:11" x14ac:dyDescent="0.25">
      <c r="A6" s="20">
        <v>3</v>
      </c>
      <c r="B6" s="12" t="s">
        <v>22</v>
      </c>
      <c r="C6" s="15" t="s">
        <v>13</v>
      </c>
      <c r="D6" s="15" t="s">
        <v>1</v>
      </c>
      <c r="E6" s="15" t="s">
        <v>23</v>
      </c>
      <c r="F6" s="15" t="s">
        <v>24</v>
      </c>
      <c r="G6" s="15" t="s">
        <v>14</v>
      </c>
      <c r="H6" s="15" t="s">
        <v>25</v>
      </c>
      <c r="I6" s="15" t="s">
        <v>26</v>
      </c>
      <c r="J6" s="15" t="s">
        <v>27</v>
      </c>
      <c r="K6" s="15" t="s">
        <v>19</v>
      </c>
    </row>
    <row r="7" spans="1:11" x14ac:dyDescent="0.25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tr">
        <f>E3</f>
        <v>MIL</v>
      </c>
      <c r="H7" s="3">
        <v>0</v>
      </c>
      <c r="I7" s="3">
        <v>0</v>
      </c>
      <c r="J7" s="3">
        <v>0</v>
      </c>
      <c r="K7" s="17" t="s">
        <v>22</v>
      </c>
    </row>
    <row r="8" spans="1:11" x14ac:dyDescent="0.25">
      <c r="A8" s="20">
        <v>4</v>
      </c>
      <c r="B8" s="12" t="s">
        <v>28</v>
      </c>
      <c r="C8" s="15" t="s">
        <v>13</v>
      </c>
      <c r="D8" s="15" t="s">
        <v>1</v>
      </c>
      <c r="E8" s="15" t="s">
        <v>23</v>
      </c>
      <c r="F8" s="15" t="s">
        <v>24</v>
      </c>
      <c r="G8" s="15" t="s">
        <v>14</v>
      </c>
      <c r="H8" s="15" t="s">
        <v>25</v>
      </c>
      <c r="I8" s="15" t="s">
        <v>26</v>
      </c>
      <c r="J8" s="28" t="s">
        <v>27</v>
      </c>
      <c r="K8" s="15" t="s">
        <v>19</v>
      </c>
    </row>
    <row r="9" spans="1:11" x14ac:dyDescent="0.25">
      <c r="A9" s="4"/>
      <c r="B9" s="5"/>
      <c r="C9" s="3">
        <v>0.85199999999999998</v>
      </c>
      <c r="D9" s="3">
        <v>35000</v>
      </c>
      <c r="E9" s="3">
        <f>E7</f>
        <v>0.76</v>
      </c>
      <c r="F9" s="3">
        <v>1</v>
      </c>
      <c r="G9" s="3" t="str">
        <f>E3</f>
        <v>MIL</v>
      </c>
      <c r="H9" s="3">
        <v>1.67</v>
      </c>
      <c r="I9" s="3">
        <v>0</v>
      </c>
      <c r="J9" s="3">
        <v>0</v>
      </c>
      <c r="K9" s="3" t="s">
        <v>28</v>
      </c>
    </row>
    <row r="10" spans="1:11" x14ac:dyDescent="0.25">
      <c r="A10" s="20">
        <v>5</v>
      </c>
      <c r="B10" s="14" t="s">
        <v>29</v>
      </c>
      <c r="C10" s="15" t="s">
        <v>13</v>
      </c>
      <c r="D10" s="15" t="s">
        <v>1</v>
      </c>
      <c r="E10" s="15" t="s">
        <v>23</v>
      </c>
      <c r="F10" s="15" t="s">
        <v>24</v>
      </c>
      <c r="G10" s="15" t="s">
        <v>14</v>
      </c>
      <c r="H10" s="15" t="s">
        <v>25</v>
      </c>
      <c r="I10" s="15" t="s">
        <v>26</v>
      </c>
      <c r="J10" s="15" t="s">
        <v>27</v>
      </c>
      <c r="K10" s="15" t="s">
        <v>19</v>
      </c>
    </row>
    <row r="11" spans="1:11" x14ac:dyDescent="0.25">
      <c r="A11" s="4"/>
      <c r="B11" s="5"/>
      <c r="C11" s="3">
        <v>0.85199999999999998</v>
      </c>
      <c r="D11" s="3">
        <v>20000</v>
      </c>
      <c r="E11" s="3">
        <f>E9</f>
        <v>0.76</v>
      </c>
      <c r="F11" s="3">
        <v>1.2</v>
      </c>
      <c r="G11" s="3" t="str">
        <f>E3</f>
        <v>MIL</v>
      </c>
      <c r="H11" s="3">
        <v>0</v>
      </c>
      <c r="I11" s="3">
        <v>0</v>
      </c>
      <c r="J11" s="3">
        <v>0</v>
      </c>
      <c r="K11" s="3" t="s">
        <v>29</v>
      </c>
    </row>
    <row r="12" spans="1:11" s="16" customFormat="1" x14ac:dyDescent="0.25">
      <c r="A12" s="20">
        <v>6</v>
      </c>
      <c r="B12" s="14" t="s">
        <v>31</v>
      </c>
      <c r="C12" s="15" t="s">
        <v>13</v>
      </c>
      <c r="D12" s="28" t="s">
        <v>1</v>
      </c>
      <c r="E12" s="15" t="s">
        <v>23</v>
      </c>
      <c r="F12" s="15" t="s">
        <v>24</v>
      </c>
      <c r="G12" s="15" t="s">
        <v>14</v>
      </c>
      <c r="H12" s="15" t="s">
        <v>25</v>
      </c>
      <c r="I12" s="15" t="s">
        <v>26</v>
      </c>
      <c r="J12" s="15" t="s">
        <v>27</v>
      </c>
      <c r="K12" s="15" t="s">
        <v>19</v>
      </c>
    </row>
    <row r="13" spans="1:11" x14ac:dyDescent="0.25">
      <c r="A13" s="4"/>
      <c r="B13" s="5"/>
      <c r="C13" s="3">
        <v>0.85199999999999998</v>
      </c>
      <c r="D13" s="3">
        <v>37000</v>
      </c>
      <c r="E13" s="3">
        <f>E11</f>
        <v>0.76</v>
      </c>
      <c r="F13" s="3">
        <v>1</v>
      </c>
      <c r="G13" s="3" t="str">
        <f>E3</f>
        <v>MIL</v>
      </c>
      <c r="H13" s="3">
        <v>0</v>
      </c>
      <c r="I13" s="3">
        <v>0</v>
      </c>
      <c r="J13" s="3">
        <v>0</v>
      </c>
      <c r="K13" s="3" t="s">
        <v>31</v>
      </c>
    </row>
    <row r="14" spans="1:11" s="16" customFormat="1" x14ac:dyDescent="0.25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 s="16" customFormat="1" x14ac:dyDescent="0.25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 s="16" customFormat="1" x14ac:dyDescent="0.25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 x14ac:dyDescent="0.25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 x14ac:dyDescent="0.25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 x14ac:dyDescent="0.25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 x14ac:dyDescent="0.25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 x14ac:dyDescent="0.25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 x14ac:dyDescent="0.25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 x14ac:dyDescent="0.25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 x14ac:dyDescent="0.25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 x14ac:dyDescent="0.25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 x14ac:dyDescent="0.25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 x14ac:dyDescent="0.25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 x14ac:dyDescent="0.25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 x14ac:dyDescent="0.25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 x14ac:dyDescent="0.25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 x14ac:dyDescent="0.25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 x14ac:dyDescent="0.25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 x14ac:dyDescent="0.25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 x14ac:dyDescent="0.25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 x14ac:dyDescent="0.25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 x14ac:dyDescent="0.25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 x14ac:dyDescent="0.25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 x14ac:dyDescent="0.25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 x14ac:dyDescent="0.25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 x14ac:dyDescent="0.25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 x14ac:dyDescent="0.25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 x14ac:dyDescent="0.25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 x14ac:dyDescent="0.25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 x14ac:dyDescent="0.25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 x14ac:dyDescent="0.25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 x14ac:dyDescent="0.25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 x14ac:dyDescent="0.25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 x14ac:dyDescent="0.25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 x14ac:dyDescent="0.25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 x14ac:dyDescent="0.25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 x14ac:dyDescent="0.25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 x14ac:dyDescent="0.25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 x14ac:dyDescent="0.25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 x14ac:dyDescent="0.25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 x14ac:dyDescent="0.25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 x14ac:dyDescent="0.25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 x14ac:dyDescent="0.25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 x14ac:dyDescent="0.25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 x14ac:dyDescent="0.25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 x14ac:dyDescent="0.25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 x14ac:dyDescent="0.25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 x14ac:dyDescent="0.25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 x14ac:dyDescent="0.25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 x14ac:dyDescent="0.25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 x14ac:dyDescent="0.25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 x14ac:dyDescent="0.25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 x14ac:dyDescent="0.25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 x14ac:dyDescent="0.25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 x14ac:dyDescent="0.25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 x14ac:dyDescent="0.25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 x14ac:dyDescent="0.25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 x14ac:dyDescent="0.25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 x14ac:dyDescent="0.25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 x14ac:dyDescent="0.25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 x14ac:dyDescent="0.25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 x14ac:dyDescent="0.25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 x14ac:dyDescent="0.25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 x14ac:dyDescent="0.25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 x14ac:dyDescent="0.25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 x14ac:dyDescent="0.25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 x14ac:dyDescent="0.25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 x14ac:dyDescent="0.25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 x14ac:dyDescent="0.25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 x14ac:dyDescent="0.25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 x14ac:dyDescent="0.25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 x14ac:dyDescent="0.25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 x14ac:dyDescent="0.25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 x14ac:dyDescent="0.25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 x14ac:dyDescent="0.25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 x14ac:dyDescent="0.25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 x14ac:dyDescent="0.25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 x14ac:dyDescent="0.25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 x14ac:dyDescent="0.25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 x14ac:dyDescent="0.25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 x14ac:dyDescent="0.25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 x14ac:dyDescent="0.25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 x14ac:dyDescent="0.25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 x14ac:dyDescent="0.25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9" thickBot="1" x14ac:dyDescent="0.3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 x14ac:dyDescent="0.25">
      <c r="G185" s="3"/>
      <c r="H185" s="3"/>
      <c r="I185" s="11"/>
      <c r="J185" s="3"/>
      <c r="K185" s="17"/>
    </row>
    <row r="186" spans="1:11" ht="19" thickBot="1" x14ac:dyDescent="0.3">
      <c r="G186" s="21"/>
      <c r="H186" s="21"/>
      <c r="I186" s="22"/>
      <c r="J186" s="21"/>
      <c r="K186" s="23"/>
    </row>
  </sheetData>
  <conditionalFormatting sqref="A6:A1048576">
    <cfRule type="expression" dxfId="24" priority="12">
      <formula>MOD(ROW(),2)=0</formula>
    </cfRule>
  </conditionalFormatting>
  <conditionalFormatting sqref="A1:K1">
    <cfRule type="expression" dxfId="23" priority="9">
      <formula>MOD(ROW(),2)=0</formula>
    </cfRule>
  </conditionalFormatting>
  <conditionalFormatting sqref="B14:F184 G14:K186">
    <cfRule type="expression" dxfId="22" priority="17">
      <formula>MOD(ROW(),2)=0</formula>
    </cfRule>
  </conditionalFormatting>
  <conditionalFormatting sqref="C2:K2 C3:G3 J3:K3 C4:K4 C5:D5 I5:K5">
    <cfRule type="expression" dxfId="21" priority="8">
      <formula>MOD(ROW(),2)=0</formula>
    </cfRule>
  </conditionalFormatting>
  <conditionalFormatting sqref="C6:K13">
    <cfRule type="expression" dxfId="20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EBD53-F589-FC45-A6FD-5AA416273AE8}">
  <dimension ref="A1:K186"/>
  <sheetViews>
    <sheetView zoomScale="113" workbookViewId="0">
      <selection activeCell="F6" sqref="F6"/>
    </sheetView>
  </sheetViews>
  <sheetFormatPr baseColWidth="10" defaultColWidth="10.83203125" defaultRowHeight="18" x14ac:dyDescent="0.25"/>
  <cols>
    <col min="1" max="1" width="15.33203125" style="2" bestFit="1" customWidth="1"/>
    <col min="2" max="2" width="19.1640625" style="2" bestFit="1" customWidth="1"/>
    <col min="3" max="3" width="16.1640625" style="2" bestFit="1" customWidth="1"/>
    <col min="4" max="4" width="11.6640625" style="2" bestFit="1" customWidth="1"/>
    <col min="5" max="5" width="18.6640625" style="2" bestFit="1" customWidth="1"/>
    <col min="6" max="6" width="13.6640625" style="2" bestFit="1" customWidth="1"/>
    <col min="7" max="7" width="13.5" style="2" bestFit="1" customWidth="1"/>
    <col min="8" max="8" width="21.1640625" style="2" bestFit="1" customWidth="1"/>
    <col min="9" max="9" width="20.6640625" style="2" bestFit="1" customWidth="1"/>
    <col min="10" max="10" width="19.6640625" style="2" bestFit="1" customWidth="1"/>
    <col min="11" max="11" width="15.33203125" style="2" bestFit="1" customWidth="1"/>
    <col min="12" max="16384" width="10.83203125" style="2"/>
  </cols>
  <sheetData>
    <row r="1" spans="1:11" ht="19" thickBot="1" x14ac:dyDescent="0.3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 x14ac:dyDescent="0.25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 x14ac:dyDescent="0.25">
      <c r="A3" s="5"/>
      <c r="B3" s="5"/>
      <c r="C3" s="3">
        <v>1</v>
      </c>
      <c r="D3" s="3">
        <v>7800</v>
      </c>
      <c r="E3" s="3" t="s">
        <v>18</v>
      </c>
      <c r="F3" s="6">
        <f>3.2*0.6</f>
        <v>1.92</v>
      </c>
      <c r="G3" s="3">
        <v>0.03</v>
      </c>
      <c r="H3" s="26">
        <v>3.5000000000000003E-2</v>
      </c>
      <c r="I3" s="25">
        <v>8000</v>
      </c>
      <c r="J3" s="11" t="s">
        <v>37</v>
      </c>
      <c r="K3" s="3"/>
    </row>
    <row r="4" spans="1:11" x14ac:dyDescent="0.25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 x14ac:dyDescent="0.25">
      <c r="A5" s="5"/>
      <c r="B5" s="5"/>
      <c r="C5" s="3">
        <v>1</v>
      </c>
      <c r="D5" s="3">
        <v>439</v>
      </c>
      <c r="E5">
        <f>3.2*0.8</f>
        <v>2.5600000000000005</v>
      </c>
      <c r="F5" s="27">
        <v>0.02</v>
      </c>
      <c r="G5" s="27">
        <v>3.5000000000000003E-2</v>
      </c>
      <c r="H5" s="25">
        <v>2120</v>
      </c>
      <c r="I5" s="3" t="s">
        <v>38</v>
      </c>
      <c r="J5" s="11"/>
      <c r="K5" s="3"/>
    </row>
    <row r="6" spans="1:11" x14ac:dyDescent="0.25">
      <c r="A6" s="20">
        <v>3</v>
      </c>
      <c r="B6" s="12" t="s">
        <v>22</v>
      </c>
      <c r="C6" s="15" t="s">
        <v>13</v>
      </c>
      <c r="D6" s="15" t="s">
        <v>1</v>
      </c>
      <c r="E6" s="15" t="s">
        <v>23</v>
      </c>
      <c r="F6" s="15" t="s">
        <v>24</v>
      </c>
      <c r="G6" s="15" t="s">
        <v>14</v>
      </c>
      <c r="H6" s="15" t="s">
        <v>25</v>
      </c>
      <c r="I6" s="15" t="s">
        <v>26</v>
      </c>
      <c r="J6" s="15" t="s">
        <v>27</v>
      </c>
      <c r="K6" s="15" t="s">
        <v>19</v>
      </c>
    </row>
    <row r="7" spans="1:11" x14ac:dyDescent="0.25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tr">
        <f>E3</f>
        <v>MIL</v>
      </c>
      <c r="H7" s="3">
        <v>0</v>
      </c>
      <c r="I7" s="3">
        <v>0</v>
      </c>
      <c r="J7" s="3">
        <v>0</v>
      </c>
      <c r="K7" s="17" t="s">
        <v>22</v>
      </c>
    </row>
    <row r="8" spans="1:11" x14ac:dyDescent="0.25">
      <c r="A8" s="20">
        <v>4</v>
      </c>
      <c r="B8" s="12" t="s">
        <v>28</v>
      </c>
      <c r="C8" s="15" t="s">
        <v>13</v>
      </c>
      <c r="D8" s="15" t="s">
        <v>1</v>
      </c>
      <c r="E8" s="15" t="s">
        <v>23</v>
      </c>
      <c r="F8" s="15" t="s">
        <v>24</v>
      </c>
      <c r="G8" s="15" t="s">
        <v>14</v>
      </c>
      <c r="H8" s="15" t="s">
        <v>25</v>
      </c>
      <c r="I8" s="15" t="s">
        <v>26</v>
      </c>
      <c r="J8" s="28" t="s">
        <v>27</v>
      </c>
      <c r="K8" s="15" t="s">
        <v>19</v>
      </c>
    </row>
    <row r="9" spans="1:11" x14ac:dyDescent="0.25">
      <c r="A9" s="4"/>
      <c r="B9" s="5"/>
      <c r="C9" s="3">
        <v>0.85199999999999998</v>
      </c>
      <c r="D9" s="3">
        <v>35000</v>
      </c>
      <c r="E9" s="3">
        <f>E7</f>
        <v>0.76</v>
      </c>
      <c r="F9" s="3">
        <v>1</v>
      </c>
      <c r="G9" s="3" t="str">
        <f>E3</f>
        <v>MIL</v>
      </c>
      <c r="H9" s="3">
        <v>1.67</v>
      </c>
      <c r="I9" s="3">
        <v>0</v>
      </c>
      <c r="J9" s="3">
        <v>0</v>
      </c>
      <c r="K9" s="3" t="s">
        <v>28</v>
      </c>
    </row>
    <row r="10" spans="1:11" x14ac:dyDescent="0.25">
      <c r="A10" s="20">
        <v>5</v>
      </c>
      <c r="B10" s="14" t="s">
        <v>29</v>
      </c>
      <c r="C10" s="15" t="s">
        <v>13</v>
      </c>
      <c r="D10" s="15" t="s">
        <v>1</v>
      </c>
      <c r="E10" s="15" t="s">
        <v>23</v>
      </c>
      <c r="F10" s="15" t="s">
        <v>24</v>
      </c>
      <c r="G10" s="15" t="s">
        <v>14</v>
      </c>
      <c r="H10" s="15" t="s">
        <v>25</v>
      </c>
      <c r="I10" s="15" t="s">
        <v>26</v>
      </c>
      <c r="J10" s="15" t="s">
        <v>27</v>
      </c>
      <c r="K10" s="15" t="s">
        <v>19</v>
      </c>
    </row>
    <row r="11" spans="1:11" x14ac:dyDescent="0.25">
      <c r="A11" s="4"/>
      <c r="B11" s="5"/>
      <c r="C11" s="3">
        <v>0.85199999999999998</v>
      </c>
      <c r="D11" s="3">
        <v>20000</v>
      </c>
      <c r="E11" s="3">
        <f>E9</f>
        <v>0.76</v>
      </c>
      <c r="F11" s="3">
        <v>1.2</v>
      </c>
      <c r="G11" s="3" t="str">
        <f>E3</f>
        <v>MIL</v>
      </c>
      <c r="H11" s="3">
        <v>0</v>
      </c>
      <c r="I11" s="3">
        <v>0</v>
      </c>
      <c r="J11" s="3">
        <v>0</v>
      </c>
      <c r="K11" s="3" t="s">
        <v>29</v>
      </c>
    </row>
    <row r="12" spans="1:11" s="16" customFormat="1" x14ac:dyDescent="0.25">
      <c r="A12" s="20">
        <v>6</v>
      </c>
      <c r="B12" s="14" t="s">
        <v>31</v>
      </c>
      <c r="C12" s="15" t="s">
        <v>13</v>
      </c>
      <c r="D12" s="28" t="s">
        <v>1</v>
      </c>
      <c r="E12" s="15" t="s">
        <v>23</v>
      </c>
      <c r="F12" s="15" t="s">
        <v>24</v>
      </c>
      <c r="G12" s="15" t="s">
        <v>14</v>
      </c>
      <c r="H12" s="15" t="s">
        <v>25</v>
      </c>
      <c r="I12" s="15" t="s">
        <v>26</v>
      </c>
      <c r="J12" s="15" t="s">
        <v>27</v>
      </c>
      <c r="K12" s="15" t="s">
        <v>19</v>
      </c>
    </row>
    <row r="13" spans="1:11" x14ac:dyDescent="0.25">
      <c r="A13" s="4"/>
      <c r="B13" s="5"/>
      <c r="C13" s="3">
        <v>0.85199999999999998</v>
      </c>
      <c r="D13" s="3">
        <v>37000</v>
      </c>
      <c r="E13" s="3">
        <f>E11</f>
        <v>0.76</v>
      </c>
      <c r="F13" s="3">
        <v>1</v>
      </c>
      <c r="G13" s="3" t="str">
        <f>E3</f>
        <v>MIL</v>
      </c>
      <c r="H13" s="3">
        <v>0</v>
      </c>
      <c r="I13" s="3">
        <v>0</v>
      </c>
      <c r="J13" s="3">
        <v>0</v>
      </c>
      <c r="K13" s="3" t="s">
        <v>31</v>
      </c>
    </row>
    <row r="14" spans="1:11" s="16" customFormat="1" x14ac:dyDescent="0.25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 s="16" customFormat="1" x14ac:dyDescent="0.25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 s="16" customFormat="1" x14ac:dyDescent="0.25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 x14ac:dyDescent="0.25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 x14ac:dyDescent="0.25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 x14ac:dyDescent="0.25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 x14ac:dyDescent="0.25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 x14ac:dyDescent="0.25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 x14ac:dyDescent="0.25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 x14ac:dyDescent="0.25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 x14ac:dyDescent="0.25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 x14ac:dyDescent="0.25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 x14ac:dyDescent="0.25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 x14ac:dyDescent="0.25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 x14ac:dyDescent="0.25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 x14ac:dyDescent="0.25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 x14ac:dyDescent="0.25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 x14ac:dyDescent="0.25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 x14ac:dyDescent="0.25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 x14ac:dyDescent="0.25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 x14ac:dyDescent="0.25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 x14ac:dyDescent="0.25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 x14ac:dyDescent="0.25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 x14ac:dyDescent="0.25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 x14ac:dyDescent="0.25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 x14ac:dyDescent="0.25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 x14ac:dyDescent="0.25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 x14ac:dyDescent="0.25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 x14ac:dyDescent="0.25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 x14ac:dyDescent="0.25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 x14ac:dyDescent="0.25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 x14ac:dyDescent="0.25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 x14ac:dyDescent="0.25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 x14ac:dyDescent="0.25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 x14ac:dyDescent="0.25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 x14ac:dyDescent="0.25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 x14ac:dyDescent="0.25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 x14ac:dyDescent="0.25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 x14ac:dyDescent="0.25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 x14ac:dyDescent="0.25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 x14ac:dyDescent="0.25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 x14ac:dyDescent="0.25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 x14ac:dyDescent="0.25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 x14ac:dyDescent="0.25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 x14ac:dyDescent="0.25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 x14ac:dyDescent="0.25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 x14ac:dyDescent="0.25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 x14ac:dyDescent="0.25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 x14ac:dyDescent="0.25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 x14ac:dyDescent="0.25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 x14ac:dyDescent="0.25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 x14ac:dyDescent="0.25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 x14ac:dyDescent="0.25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 x14ac:dyDescent="0.25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 x14ac:dyDescent="0.25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 x14ac:dyDescent="0.25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 x14ac:dyDescent="0.25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 x14ac:dyDescent="0.25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 x14ac:dyDescent="0.25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 x14ac:dyDescent="0.25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 x14ac:dyDescent="0.25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 x14ac:dyDescent="0.25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 x14ac:dyDescent="0.25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 x14ac:dyDescent="0.25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 x14ac:dyDescent="0.25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 x14ac:dyDescent="0.25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 x14ac:dyDescent="0.25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 x14ac:dyDescent="0.25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 x14ac:dyDescent="0.25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 x14ac:dyDescent="0.25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 x14ac:dyDescent="0.25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 x14ac:dyDescent="0.25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 x14ac:dyDescent="0.25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 x14ac:dyDescent="0.25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 x14ac:dyDescent="0.25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 x14ac:dyDescent="0.25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 x14ac:dyDescent="0.25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 x14ac:dyDescent="0.25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 x14ac:dyDescent="0.25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 x14ac:dyDescent="0.25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 x14ac:dyDescent="0.25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 x14ac:dyDescent="0.25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 x14ac:dyDescent="0.25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 x14ac:dyDescent="0.25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 x14ac:dyDescent="0.25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9" thickBot="1" x14ac:dyDescent="0.3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 x14ac:dyDescent="0.25">
      <c r="G185" s="3"/>
      <c r="H185" s="3"/>
      <c r="I185" s="11"/>
      <c r="J185" s="3"/>
      <c r="K185" s="17"/>
    </row>
    <row r="186" spans="1:11" ht="19" thickBot="1" x14ac:dyDescent="0.3">
      <c r="G186" s="21"/>
      <c r="H186" s="21"/>
      <c r="I186" s="22"/>
      <c r="J186" s="21"/>
      <c r="K186" s="23"/>
    </row>
  </sheetData>
  <conditionalFormatting sqref="A6:A1048576">
    <cfRule type="expression" dxfId="19" priority="4">
      <formula>MOD(ROW(),2)=0</formula>
    </cfRule>
  </conditionalFormatting>
  <conditionalFormatting sqref="A1:K1">
    <cfRule type="expression" dxfId="18" priority="3">
      <formula>MOD(ROW(),2)=0</formula>
    </cfRule>
  </conditionalFormatting>
  <conditionalFormatting sqref="B14:F184 G14:K186">
    <cfRule type="expression" dxfId="17" priority="5">
      <formula>MOD(ROW(),2)=0</formula>
    </cfRule>
  </conditionalFormatting>
  <conditionalFormatting sqref="C2:K2 C3:G3 J3:K3 C4:K4 C5:D5 I5:K5">
    <cfRule type="expression" dxfId="16" priority="2">
      <formula>MOD(ROW(),2)=0</formula>
    </cfRule>
  </conditionalFormatting>
  <conditionalFormatting sqref="C6:K13">
    <cfRule type="expression" dxfId="15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C6864-E2ED-1445-830A-B8E0FB1F40AB}">
  <dimension ref="A1:K186"/>
  <sheetViews>
    <sheetView zoomScale="113" workbookViewId="0">
      <selection activeCell="F6" sqref="F6"/>
    </sheetView>
  </sheetViews>
  <sheetFormatPr baseColWidth="10" defaultColWidth="10.83203125" defaultRowHeight="18" x14ac:dyDescent="0.25"/>
  <cols>
    <col min="1" max="1" width="15.33203125" style="2" bestFit="1" customWidth="1"/>
    <col min="2" max="2" width="19.1640625" style="2" bestFit="1" customWidth="1"/>
    <col min="3" max="3" width="16.1640625" style="2" bestFit="1" customWidth="1"/>
    <col min="4" max="4" width="11.6640625" style="2" bestFit="1" customWidth="1"/>
    <col min="5" max="5" width="18.6640625" style="2" bestFit="1" customWidth="1"/>
    <col min="6" max="6" width="13.6640625" style="2" bestFit="1" customWidth="1"/>
    <col min="7" max="7" width="13.5" style="2" bestFit="1" customWidth="1"/>
    <col min="8" max="8" width="21.1640625" style="2" bestFit="1" customWidth="1"/>
    <col min="9" max="9" width="20.6640625" style="2" bestFit="1" customWidth="1"/>
    <col min="10" max="10" width="19.6640625" style="2" bestFit="1" customWidth="1"/>
    <col min="11" max="11" width="15.33203125" style="2" bestFit="1" customWidth="1"/>
    <col min="12" max="16384" width="10.83203125" style="2"/>
  </cols>
  <sheetData>
    <row r="1" spans="1:11" ht="19" thickBot="1" x14ac:dyDescent="0.3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 x14ac:dyDescent="0.25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 x14ac:dyDescent="0.25">
      <c r="A3" s="5"/>
      <c r="B3" s="5"/>
      <c r="C3" s="3">
        <v>1</v>
      </c>
      <c r="D3" s="3">
        <v>7800</v>
      </c>
      <c r="E3" s="3" t="s">
        <v>18</v>
      </c>
      <c r="F3" s="6">
        <f>3.2*0.6</f>
        <v>1.92</v>
      </c>
      <c r="G3" s="3">
        <v>0.03</v>
      </c>
      <c r="H3" s="26">
        <v>3.5000000000000003E-2</v>
      </c>
      <c r="I3" s="25">
        <v>8000</v>
      </c>
      <c r="J3" s="11" t="s">
        <v>37</v>
      </c>
      <c r="K3" s="3"/>
    </row>
    <row r="4" spans="1:11" x14ac:dyDescent="0.25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 x14ac:dyDescent="0.25">
      <c r="A5" s="5"/>
      <c r="B5" s="5"/>
      <c r="C5" s="3">
        <v>1</v>
      </c>
      <c r="D5" s="3">
        <v>439</v>
      </c>
      <c r="E5">
        <f>3.2*0.8</f>
        <v>2.5600000000000005</v>
      </c>
      <c r="F5" s="27">
        <v>0.02</v>
      </c>
      <c r="G5" s="27">
        <v>3.5000000000000003E-2</v>
      </c>
      <c r="H5" s="25">
        <v>2120</v>
      </c>
      <c r="I5" s="3" t="s">
        <v>38</v>
      </c>
      <c r="J5" s="11"/>
      <c r="K5" s="3"/>
    </row>
    <row r="6" spans="1:11" x14ac:dyDescent="0.25">
      <c r="A6" s="20">
        <v>3</v>
      </c>
      <c r="B6" s="12" t="s">
        <v>22</v>
      </c>
      <c r="C6" s="15" t="s">
        <v>13</v>
      </c>
      <c r="D6" s="15" t="s">
        <v>1</v>
      </c>
      <c r="E6" s="15" t="s">
        <v>23</v>
      </c>
      <c r="F6" s="15" t="s">
        <v>24</v>
      </c>
      <c r="G6" s="15" t="s">
        <v>14</v>
      </c>
      <c r="H6" s="15" t="s">
        <v>25</v>
      </c>
      <c r="I6" s="15" t="s">
        <v>26</v>
      </c>
      <c r="J6" s="15" t="s">
        <v>27</v>
      </c>
      <c r="K6" s="15" t="s">
        <v>19</v>
      </c>
    </row>
    <row r="7" spans="1:11" x14ac:dyDescent="0.25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tr">
        <f>E3</f>
        <v>MIL</v>
      </c>
      <c r="H7" s="3">
        <v>0</v>
      </c>
      <c r="I7" s="3">
        <v>0</v>
      </c>
      <c r="J7" s="3">
        <v>0</v>
      </c>
      <c r="K7" s="17" t="s">
        <v>22</v>
      </c>
    </row>
    <row r="8" spans="1:11" x14ac:dyDescent="0.25">
      <c r="A8" s="20">
        <v>4</v>
      </c>
      <c r="B8" s="12" t="s">
        <v>28</v>
      </c>
      <c r="C8" s="15" t="s">
        <v>13</v>
      </c>
      <c r="D8" s="15" t="s">
        <v>1</v>
      </c>
      <c r="E8" s="15" t="s">
        <v>23</v>
      </c>
      <c r="F8" s="15" t="s">
        <v>24</v>
      </c>
      <c r="G8" s="15" t="s">
        <v>14</v>
      </c>
      <c r="H8" s="15" t="s">
        <v>25</v>
      </c>
      <c r="I8" s="15" t="s">
        <v>26</v>
      </c>
      <c r="J8" s="28" t="s">
        <v>27</v>
      </c>
      <c r="K8" s="15" t="s">
        <v>19</v>
      </c>
    </row>
    <row r="9" spans="1:11" x14ac:dyDescent="0.25">
      <c r="A9" s="4"/>
      <c r="B9" s="5"/>
      <c r="C9" s="3">
        <v>0.85199999999999998</v>
      </c>
      <c r="D9" s="3">
        <v>35000</v>
      </c>
      <c r="E9" s="3">
        <f>E7</f>
        <v>0.76</v>
      </c>
      <c r="F9" s="3">
        <v>1</v>
      </c>
      <c r="G9" s="3" t="str">
        <f>E3</f>
        <v>MIL</v>
      </c>
      <c r="H9" s="3">
        <v>1.67</v>
      </c>
      <c r="I9" s="3">
        <v>0</v>
      </c>
      <c r="J9" s="3">
        <v>0</v>
      </c>
      <c r="K9" s="3" t="s">
        <v>28</v>
      </c>
    </row>
    <row r="10" spans="1:11" x14ac:dyDescent="0.25">
      <c r="A10" s="20">
        <v>5</v>
      </c>
      <c r="B10" s="14" t="s">
        <v>29</v>
      </c>
      <c r="C10" s="15" t="s">
        <v>13</v>
      </c>
      <c r="D10" s="15" t="s">
        <v>1</v>
      </c>
      <c r="E10" s="15" t="s">
        <v>23</v>
      </c>
      <c r="F10" s="15" t="s">
        <v>24</v>
      </c>
      <c r="G10" s="15" t="s">
        <v>14</v>
      </c>
      <c r="H10" s="15" t="s">
        <v>25</v>
      </c>
      <c r="I10" s="15" t="s">
        <v>26</v>
      </c>
      <c r="J10" s="15" t="s">
        <v>27</v>
      </c>
      <c r="K10" s="15" t="s">
        <v>19</v>
      </c>
    </row>
    <row r="11" spans="1:11" x14ac:dyDescent="0.25">
      <c r="A11" s="4"/>
      <c r="B11" s="5"/>
      <c r="C11" s="3">
        <v>0.85199999999999998</v>
      </c>
      <c r="D11" s="3">
        <v>20000</v>
      </c>
      <c r="E11" s="3">
        <f>E9</f>
        <v>0.76</v>
      </c>
      <c r="F11" s="3">
        <v>1.2</v>
      </c>
      <c r="G11" s="3" t="str">
        <f>E3</f>
        <v>MIL</v>
      </c>
      <c r="H11" s="3">
        <v>0</v>
      </c>
      <c r="I11" s="3">
        <v>0</v>
      </c>
      <c r="J11" s="3">
        <v>0</v>
      </c>
      <c r="K11" s="3" t="s">
        <v>29</v>
      </c>
    </row>
    <row r="12" spans="1:11" s="16" customFormat="1" x14ac:dyDescent="0.25">
      <c r="A12" s="20">
        <v>6</v>
      </c>
      <c r="B12" s="14" t="s">
        <v>31</v>
      </c>
      <c r="C12" s="15" t="s">
        <v>13</v>
      </c>
      <c r="D12" s="28" t="s">
        <v>1</v>
      </c>
      <c r="E12" s="15" t="s">
        <v>23</v>
      </c>
      <c r="F12" s="15" t="s">
        <v>24</v>
      </c>
      <c r="G12" s="15" t="s">
        <v>14</v>
      </c>
      <c r="H12" s="15" t="s">
        <v>25</v>
      </c>
      <c r="I12" s="15" t="s">
        <v>26</v>
      </c>
      <c r="J12" s="15" t="s">
        <v>27</v>
      </c>
      <c r="K12" s="15" t="s">
        <v>19</v>
      </c>
    </row>
    <row r="13" spans="1:11" x14ac:dyDescent="0.25">
      <c r="A13" s="4"/>
      <c r="B13" s="5"/>
      <c r="C13" s="3">
        <v>0.85199999999999998</v>
      </c>
      <c r="D13" s="3">
        <v>37000</v>
      </c>
      <c r="E13" s="3">
        <f>E11</f>
        <v>0.76</v>
      </c>
      <c r="F13" s="3">
        <v>1</v>
      </c>
      <c r="G13" s="3" t="str">
        <f>E3</f>
        <v>MIL</v>
      </c>
      <c r="H13" s="3">
        <v>0</v>
      </c>
      <c r="I13" s="3">
        <v>0</v>
      </c>
      <c r="J13" s="3">
        <v>0</v>
      </c>
      <c r="K13" s="3" t="s">
        <v>31</v>
      </c>
    </row>
    <row r="14" spans="1:11" s="16" customFormat="1" x14ac:dyDescent="0.25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 s="16" customFormat="1" x14ac:dyDescent="0.25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 s="16" customFormat="1" x14ac:dyDescent="0.25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 x14ac:dyDescent="0.25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 x14ac:dyDescent="0.25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 x14ac:dyDescent="0.25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 x14ac:dyDescent="0.25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 x14ac:dyDescent="0.25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 x14ac:dyDescent="0.25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 x14ac:dyDescent="0.25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 x14ac:dyDescent="0.25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 x14ac:dyDescent="0.25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 x14ac:dyDescent="0.25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 x14ac:dyDescent="0.25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 x14ac:dyDescent="0.25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 x14ac:dyDescent="0.25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 x14ac:dyDescent="0.25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 x14ac:dyDescent="0.25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 x14ac:dyDescent="0.25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 x14ac:dyDescent="0.25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 x14ac:dyDescent="0.25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 x14ac:dyDescent="0.25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 x14ac:dyDescent="0.25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 x14ac:dyDescent="0.25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 x14ac:dyDescent="0.25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 x14ac:dyDescent="0.25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 x14ac:dyDescent="0.25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 x14ac:dyDescent="0.25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 x14ac:dyDescent="0.25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 x14ac:dyDescent="0.25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 x14ac:dyDescent="0.25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 x14ac:dyDescent="0.25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 x14ac:dyDescent="0.25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 x14ac:dyDescent="0.25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 x14ac:dyDescent="0.25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 x14ac:dyDescent="0.25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 x14ac:dyDescent="0.25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 x14ac:dyDescent="0.25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 x14ac:dyDescent="0.25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 x14ac:dyDescent="0.25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 x14ac:dyDescent="0.25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 x14ac:dyDescent="0.25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 x14ac:dyDescent="0.25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 x14ac:dyDescent="0.25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 x14ac:dyDescent="0.25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 x14ac:dyDescent="0.25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 x14ac:dyDescent="0.25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 x14ac:dyDescent="0.25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 x14ac:dyDescent="0.25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 x14ac:dyDescent="0.25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 x14ac:dyDescent="0.25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 x14ac:dyDescent="0.25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 x14ac:dyDescent="0.25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 x14ac:dyDescent="0.25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 x14ac:dyDescent="0.25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 x14ac:dyDescent="0.25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 x14ac:dyDescent="0.25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 x14ac:dyDescent="0.25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 x14ac:dyDescent="0.25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 x14ac:dyDescent="0.25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 x14ac:dyDescent="0.25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 x14ac:dyDescent="0.25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 x14ac:dyDescent="0.25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 x14ac:dyDescent="0.25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 x14ac:dyDescent="0.25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 x14ac:dyDescent="0.25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 x14ac:dyDescent="0.25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 x14ac:dyDescent="0.25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 x14ac:dyDescent="0.25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 x14ac:dyDescent="0.25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 x14ac:dyDescent="0.25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 x14ac:dyDescent="0.25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 x14ac:dyDescent="0.25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 x14ac:dyDescent="0.25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 x14ac:dyDescent="0.25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 x14ac:dyDescent="0.25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 x14ac:dyDescent="0.25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 x14ac:dyDescent="0.25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 x14ac:dyDescent="0.25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 x14ac:dyDescent="0.25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 x14ac:dyDescent="0.25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 x14ac:dyDescent="0.25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 x14ac:dyDescent="0.25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 x14ac:dyDescent="0.25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 x14ac:dyDescent="0.25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9" thickBot="1" x14ac:dyDescent="0.3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 x14ac:dyDescent="0.25">
      <c r="G185" s="3"/>
      <c r="H185" s="3"/>
      <c r="I185" s="11"/>
      <c r="J185" s="3"/>
      <c r="K185" s="17"/>
    </row>
    <row r="186" spans="1:11" ht="19" thickBot="1" x14ac:dyDescent="0.3">
      <c r="G186" s="21"/>
      <c r="H186" s="21"/>
      <c r="I186" s="22"/>
      <c r="J186" s="21"/>
      <c r="K186" s="23"/>
    </row>
  </sheetData>
  <conditionalFormatting sqref="A6:A1048576">
    <cfRule type="expression" dxfId="14" priority="4">
      <formula>MOD(ROW(),2)=0</formula>
    </cfRule>
  </conditionalFormatting>
  <conditionalFormatting sqref="A1:K1">
    <cfRule type="expression" dxfId="13" priority="3">
      <formula>MOD(ROW(),2)=0</formula>
    </cfRule>
  </conditionalFormatting>
  <conditionalFormatting sqref="B14:F184 G14:K186">
    <cfRule type="expression" dxfId="12" priority="5">
      <formula>MOD(ROW(),2)=0</formula>
    </cfRule>
  </conditionalFormatting>
  <conditionalFormatting sqref="C2:K2 C3:G3 J3:K3 C4:K4 C5:D5 I5:K5">
    <cfRule type="expression" dxfId="11" priority="2">
      <formula>MOD(ROW(),2)=0</formula>
    </cfRule>
  </conditionalFormatting>
  <conditionalFormatting sqref="C6:K13">
    <cfRule type="expression" dxfId="1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2E5B-8026-DE42-A3D7-8CA243FAB1E0}">
  <dimension ref="A1:K186"/>
  <sheetViews>
    <sheetView zoomScale="113" workbookViewId="0">
      <selection activeCell="F6" sqref="F6"/>
    </sheetView>
  </sheetViews>
  <sheetFormatPr baseColWidth="10" defaultColWidth="10.83203125" defaultRowHeight="18" x14ac:dyDescent="0.25"/>
  <cols>
    <col min="1" max="1" width="15.33203125" style="2" bestFit="1" customWidth="1"/>
    <col min="2" max="2" width="19.1640625" style="2" bestFit="1" customWidth="1"/>
    <col min="3" max="3" width="16.1640625" style="2" bestFit="1" customWidth="1"/>
    <col min="4" max="4" width="11.6640625" style="2" bestFit="1" customWidth="1"/>
    <col min="5" max="5" width="18.6640625" style="2" bestFit="1" customWidth="1"/>
    <col min="6" max="6" width="13.6640625" style="2" bestFit="1" customWidth="1"/>
    <col min="7" max="7" width="13.5" style="2" bestFit="1" customWidth="1"/>
    <col min="8" max="8" width="21.1640625" style="2" bestFit="1" customWidth="1"/>
    <col min="9" max="9" width="20.6640625" style="2" bestFit="1" customWidth="1"/>
    <col min="10" max="10" width="19.6640625" style="2" bestFit="1" customWidth="1"/>
    <col min="11" max="11" width="15.33203125" style="2" bestFit="1" customWidth="1"/>
    <col min="12" max="16384" width="10.83203125" style="2"/>
  </cols>
  <sheetData>
    <row r="1" spans="1:11" ht="19" thickBot="1" x14ac:dyDescent="0.3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 x14ac:dyDescent="0.25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 x14ac:dyDescent="0.25">
      <c r="A3" s="5"/>
      <c r="B3" s="5"/>
      <c r="C3" s="3">
        <v>1</v>
      </c>
      <c r="D3" s="3">
        <v>7800</v>
      </c>
      <c r="E3" s="3" t="s">
        <v>18</v>
      </c>
      <c r="F3" s="6">
        <f>3.2*0.6</f>
        <v>1.92</v>
      </c>
      <c r="G3" s="3">
        <v>0.03</v>
      </c>
      <c r="H3" s="26">
        <v>3.5000000000000003E-2</v>
      </c>
      <c r="I3" s="25">
        <v>8000</v>
      </c>
      <c r="J3" s="11" t="s">
        <v>37</v>
      </c>
      <c r="K3" s="3"/>
    </row>
    <row r="4" spans="1:11" x14ac:dyDescent="0.25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 x14ac:dyDescent="0.25">
      <c r="A5" s="5"/>
      <c r="B5" s="5"/>
      <c r="C5" s="3">
        <v>1</v>
      </c>
      <c r="D5" s="3">
        <v>439</v>
      </c>
      <c r="E5">
        <f>3.2*0.8</f>
        <v>2.5600000000000005</v>
      </c>
      <c r="F5" s="27">
        <v>0.02</v>
      </c>
      <c r="G5" s="27">
        <v>3.5000000000000003E-2</v>
      </c>
      <c r="H5" s="25">
        <v>2120</v>
      </c>
      <c r="I5" s="3" t="s">
        <v>38</v>
      </c>
      <c r="J5" s="11"/>
      <c r="K5" s="3"/>
    </row>
    <row r="6" spans="1:11" x14ac:dyDescent="0.25">
      <c r="A6" s="20">
        <v>3</v>
      </c>
      <c r="B6" s="12" t="s">
        <v>22</v>
      </c>
      <c r="C6" s="15" t="s">
        <v>13</v>
      </c>
      <c r="D6" s="15" t="s">
        <v>1</v>
      </c>
      <c r="E6" s="15" t="s">
        <v>23</v>
      </c>
      <c r="F6" s="15" t="s">
        <v>24</v>
      </c>
      <c r="G6" s="15" t="s">
        <v>14</v>
      </c>
      <c r="H6" s="15" t="s">
        <v>25</v>
      </c>
      <c r="I6" s="15" t="s">
        <v>26</v>
      </c>
      <c r="J6" s="15" t="s">
        <v>27</v>
      </c>
      <c r="K6" s="15" t="s">
        <v>19</v>
      </c>
    </row>
    <row r="7" spans="1:11" x14ac:dyDescent="0.25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tr">
        <f>E3</f>
        <v>MIL</v>
      </c>
      <c r="H7" s="3">
        <v>0</v>
      </c>
      <c r="I7" s="3">
        <v>0</v>
      </c>
      <c r="J7" s="3">
        <v>0</v>
      </c>
      <c r="K7" s="17" t="s">
        <v>22</v>
      </c>
    </row>
    <row r="8" spans="1:11" x14ac:dyDescent="0.25">
      <c r="A8" s="20">
        <v>4</v>
      </c>
      <c r="B8" s="12" t="s">
        <v>28</v>
      </c>
      <c r="C8" s="15" t="s">
        <v>13</v>
      </c>
      <c r="D8" s="15" t="s">
        <v>1</v>
      </c>
      <c r="E8" s="15" t="s">
        <v>23</v>
      </c>
      <c r="F8" s="15" t="s">
        <v>24</v>
      </c>
      <c r="G8" s="15" t="s">
        <v>14</v>
      </c>
      <c r="H8" s="15" t="s">
        <v>25</v>
      </c>
      <c r="I8" s="15" t="s">
        <v>26</v>
      </c>
      <c r="J8" s="28" t="s">
        <v>27</v>
      </c>
      <c r="K8" s="15" t="s">
        <v>19</v>
      </c>
    </row>
    <row r="9" spans="1:11" x14ac:dyDescent="0.25">
      <c r="A9" s="4"/>
      <c r="B9" s="5"/>
      <c r="C9" s="3">
        <v>0.85199999999999998</v>
      </c>
      <c r="D9" s="3">
        <v>35000</v>
      </c>
      <c r="E9" s="3">
        <f>E7</f>
        <v>0.76</v>
      </c>
      <c r="F9" s="3">
        <v>1</v>
      </c>
      <c r="G9" s="3" t="str">
        <f>E3</f>
        <v>MIL</v>
      </c>
      <c r="H9" s="3">
        <v>1.67</v>
      </c>
      <c r="I9" s="3">
        <v>0</v>
      </c>
      <c r="J9" s="3">
        <v>0</v>
      </c>
      <c r="K9" s="3" t="s">
        <v>28</v>
      </c>
    </row>
    <row r="10" spans="1:11" x14ac:dyDescent="0.25">
      <c r="A10" s="20">
        <v>5</v>
      </c>
      <c r="B10" s="14" t="s">
        <v>29</v>
      </c>
      <c r="C10" s="15" t="s">
        <v>13</v>
      </c>
      <c r="D10" s="15" t="s">
        <v>1</v>
      </c>
      <c r="E10" s="15" t="s">
        <v>23</v>
      </c>
      <c r="F10" s="15" t="s">
        <v>24</v>
      </c>
      <c r="G10" s="15" t="s">
        <v>14</v>
      </c>
      <c r="H10" s="15" t="s">
        <v>25</v>
      </c>
      <c r="I10" s="15" t="s">
        <v>26</v>
      </c>
      <c r="J10" s="15" t="s">
        <v>27</v>
      </c>
      <c r="K10" s="15" t="s">
        <v>19</v>
      </c>
    </row>
    <row r="11" spans="1:11" x14ac:dyDescent="0.25">
      <c r="A11" s="4"/>
      <c r="B11" s="5"/>
      <c r="C11" s="3">
        <v>0.85199999999999998</v>
      </c>
      <c r="D11" s="3">
        <v>20000</v>
      </c>
      <c r="E11" s="3">
        <f>E9</f>
        <v>0.76</v>
      </c>
      <c r="F11" s="3">
        <v>1.2</v>
      </c>
      <c r="G11" s="3" t="str">
        <f>E3</f>
        <v>MIL</v>
      </c>
      <c r="H11" s="3">
        <v>0</v>
      </c>
      <c r="I11" s="3">
        <v>0</v>
      </c>
      <c r="J11" s="3">
        <v>0</v>
      </c>
      <c r="K11" s="3" t="s">
        <v>29</v>
      </c>
    </row>
    <row r="12" spans="1:11" s="16" customFormat="1" x14ac:dyDescent="0.25">
      <c r="A12" s="20">
        <v>6</v>
      </c>
      <c r="B12" s="14" t="s">
        <v>31</v>
      </c>
      <c r="C12" s="15" t="s">
        <v>13</v>
      </c>
      <c r="D12" s="28" t="s">
        <v>1</v>
      </c>
      <c r="E12" s="15" t="s">
        <v>23</v>
      </c>
      <c r="F12" s="15" t="s">
        <v>24</v>
      </c>
      <c r="G12" s="15" t="s">
        <v>14</v>
      </c>
      <c r="H12" s="15" t="s">
        <v>25</v>
      </c>
      <c r="I12" s="15" t="s">
        <v>26</v>
      </c>
      <c r="J12" s="15" t="s">
        <v>27</v>
      </c>
      <c r="K12" s="15" t="s">
        <v>19</v>
      </c>
    </row>
    <row r="13" spans="1:11" x14ac:dyDescent="0.25">
      <c r="A13" s="4"/>
      <c r="B13" s="5"/>
      <c r="C13" s="3">
        <v>0.85199999999999998</v>
      </c>
      <c r="D13" s="3">
        <v>37000</v>
      </c>
      <c r="E13" s="3">
        <f>E11</f>
        <v>0.76</v>
      </c>
      <c r="F13" s="3">
        <v>1</v>
      </c>
      <c r="G13" s="3" t="str">
        <f>E3</f>
        <v>MIL</v>
      </c>
      <c r="H13" s="3">
        <v>0</v>
      </c>
      <c r="I13" s="3">
        <v>0</v>
      </c>
      <c r="J13" s="3">
        <v>0</v>
      </c>
      <c r="K13" s="3" t="s">
        <v>31</v>
      </c>
    </row>
    <row r="14" spans="1:11" s="16" customFormat="1" x14ac:dyDescent="0.25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 s="16" customFormat="1" x14ac:dyDescent="0.25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 s="16" customFormat="1" x14ac:dyDescent="0.25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 x14ac:dyDescent="0.25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 x14ac:dyDescent="0.25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 x14ac:dyDescent="0.25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 x14ac:dyDescent="0.25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 x14ac:dyDescent="0.25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 x14ac:dyDescent="0.25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 x14ac:dyDescent="0.25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 x14ac:dyDescent="0.25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 x14ac:dyDescent="0.25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 x14ac:dyDescent="0.25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 x14ac:dyDescent="0.25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 x14ac:dyDescent="0.25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 x14ac:dyDescent="0.25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 x14ac:dyDescent="0.25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 x14ac:dyDescent="0.25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 x14ac:dyDescent="0.25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 x14ac:dyDescent="0.25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 x14ac:dyDescent="0.25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 x14ac:dyDescent="0.25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 x14ac:dyDescent="0.25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 x14ac:dyDescent="0.25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 x14ac:dyDescent="0.25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 x14ac:dyDescent="0.25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 x14ac:dyDescent="0.25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 x14ac:dyDescent="0.25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 x14ac:dyDescent="0.25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 x14ac:dyDescent="0.25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 x14ac:dyDescent="0.25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 x14ac:dyDescent="0.25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 x14ac:dyDescent="0.25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 x14ac:dyDescent="0.25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 x14ac:dyDescent="0.25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 x14ac:dyDescent="0.25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 x14ac:dyDescent="0.25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 x14ac:dyDescent="0.25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 x14ac:dyDescent="0.25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 x14ac:dyDescent="0.25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 x14ac:dyDescent="0.25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 x14ac:dyDescent="0.25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 x14ac:dyDescent="0.25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 x14ac:dyDescent="0.25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 x14ac:dyDescent="0.25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 x14ac:dyDescent="0.25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 x14ac:dyDescent="0.25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 x14ac:dyDescent="0.25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 x14ac:dyDescent="0.25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 x14ac:dyDescent="0.25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 x14ac:dyDescent="0.25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 x14ac:dyDescent="0.25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 x14ac:dyDescent="0.25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 x14ac:dyDescent="0.25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 x14ac:dyDescent="0.25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 x14ac:dyDescent="0.25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 x14ac:dyDescent="0.25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 x14ac:dyDescent="0.25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 x14ac:dyDescent="0.25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 x14ac:dyDescent="0.25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 x14ac:dyDescent="0.25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 x14ac:dyDescent="0.25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 x14ac:dyDescent="0.25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 x14ac:dyDescent="0.25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 x14ac:dyDescent="0.25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 x14ac:dyDescent="0.25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 x14ac:dyDescent="0.25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 x14ac:dyDescent="0.25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 x14ac:dyDescent="0.25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 x14ac:dyDescent="0.25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 x14ac:dyDescent="0.25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 x14ac:dyDescent="0.25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 x14ac:dyDescent="0.25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 x14ac:dyDescent="0.25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 x14ac:dyDescent="0.25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 x14ac:dyDescent="0.25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 x14ac:dyDescent="0.25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 x14ac:dyDescent="0.25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 x14ac:dyDescent="0.25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 x14ac:dyDescent="0.25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 x14ac:dyDescent="0.25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 x14ac:dyDescent="0.25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 x14ac:dyDescent="0.25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 x14ac:dyDescent="0.25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 x14ac:dyDescent="0.25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9" thickBot="1" x14ac:dyDescent="0.3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 x14ac:dyDescent="0.25">
      <c r="G185" s="3"/>
      <c r="H185" s="3"/>
      <c r="I185" s="11"/>
      <c r="J185" s="3"/>
      <c r="K185" s="17"/>
    </row>
    <row r="186" spans="1:11" ht="19" thickBot="1" x14ac:dyDescent="0.3">
      <c r="G186" s="21"/>
      <c r="H186" s="21"/>
      <c r="I186" s="22"/>
      <c r="J186" s="21"/>
      <c r="K186" s="23"/>
    </row>
  </sheetData>
  <conditionalFormatting sqref="A6:A1048576">
    <cfRule type="expression" dxfId="9" priority="4">
      <formula>MOD(ROW(),2)=0</formula>
    </cfRule>
  </conditionalFormatting>
  <conditionalFormatting sqref="A1:K1">
    <cfRule type="expression" dxfId="8" priority="3">
      <formula>MOD(ROW(),2)=0</formula>
    </cfRule>
  </conditionalFormatting>
  <conditionalFormatting sqref="B14:F184 G14:K186">
    <cfRule type="expression" dxfId="7" priority="5">
      <formula>MOD(ROW(),2)=0</formula>
    </cfRule>
  </conditionalFormatting>
  <conditionalFormatting sqref="C2:K2 C3:G3 J3:K3 C4:K4 C5:D5 I5:K5">
    <cfRule type="expression" dxfId="6" priority="2">
      <formula>MOD(ROW(),2)=0</formula>
    </cfRule>
  </conditionalFormatting>
  <conditionalFormatting sqref="C6:K13">
    <cfRule type="expression" dxfId="5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F39E-9A13-CB4E-8784-9D931E6ECD7F}">
  <dimension ref="A1:K186"/>
  <sheetViews>
    <sheetView tabSelected="1" zoomScale="113" workbookViewId="0">
      <selection activeCell="F6" sqref="F6"/>
    </sheetView>
  </sheetViews>
  <sheetFormatPr baseColWidth="10" defaultColWidth="10.83203125" defaultRowHeight="18" x14ac:dyDescent="0.25"/>
  <cols>
    <col min="1" max="1" width="15.33203125" style="2" bestFit="1" customWidth="1"/>
    <col min="2" max="2" width="19.1640625" style="2" bestFit="1" customWidth="1"/>
    <col min="3" max="3" width="16.1640625" style="2" bestFit="1" customWidth="1"/>
    <col min="4" max="4" width="11.6640625" style="2" bestFit="1" customWidth="1"/>
    <col min="5" max="5" width="18.6640625" style="2" bestFit="1" customWidth="1"/>
    <col min="6" max="6" width="13.6640625" style="2" bestFit="1" customWidth="1"/>
    <col min="7" max="7" width="13.5" style="2" bestFit="1" customWidth="1"/>
    <col min="8" max="8" width="21.1640625" style="2" bestFit="1" customWidth="1"/>
    <col min="9" max="9" width="20.6640625" style="2" bestFit="1" customWidth="1"/>
    <col min="10" max="10" width="19.6640625" style="2" bestFit="1" customWidth="1"/>
    <col min="11" max="11" width="15.33203125" style="2" bestFit="1" customWidth="1"/>
    <col min="12" max="16384" width="10.83203125" style="2"/>
  </cols>
  <sheetData>
    <row r="1" spans="1:11" ht="19" thickBot="1" x14ac:dyDescent="0.3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 x14ac:dyDescent="0.25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 x14ac:dyDescent="0.25">
      <c r="A3" s="5"/>
      <c r="B3" s="5"/>
      <c r="C3" s="3">
        <v>1</v>
      </c>
      <c r="D3" s="3">
        <v>7800</v>
      </c>
      <c r="E3" s="3" t="s">
        <v>18</v>
      </c>
      <c r="F3" s="6">
        <f>3.2*0.6</f>
        <v>1.92</v>
      </c>
      <c r="G3" s="3">
        <v>0.03</v>
      </c>
      <c r="H3" s="26">
        <v>3.5000000000000003E-2</v>
      </c>
      <c r="I3" s="25">
        <v>8000</v>
      </c>
      <c r="J3" s="11" t="s">
        <v>37</v>
      </c>
      <c r="K3" s="3"/>
    </row>
    <row r="4" spans="1:11" x14ac:dyDescent="0.25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 x14ac:dyDescent="0.25">
      <c r="A5" s="5"/>
      <c r="B5" s="5"/>
      <c r="C5" s="3">
        <v>1</v>
      </c>
      <c r="D5" s="3">
        <v>439</v>
      </c>
      <c r="E5">
        <f>3.2*0.8</f>
        <v>2.5600000000000005</v>
      </c>
      <c r="F5" s="27">
        <v>0.02</v>
      </c>
      <c r="G5" s="27">
        <v>3.5000000000000003E-2</v>
      </c>
      <c r="H5" s="25">
        <v>2120</v>
      </c>
      <c r="I5" s="3" t="s">
        <v>38</v>
      </c>
      <c r="J5" s="11"/>
      <c r="K5" s="3"/>
    </row>
    <row r="6" spans="1:11" x14ac:dyDescent="0.25">
      <c r="A6" s="20">
        <v>3</v>
      </c>
      <c r="B6" s="12" t="s">
        <v>22</v>
      </c>
      <c r="C6" s="15" t="s">
        <v>13</v>
      </c>
      <c r="D6" s="15" t="s">
        <v>1</v>
      </c>
      <c r="E6" s="15" t="s">
        <v>23</v>
      </c>
      <c r="F6" s="15" t="s">
        <v>24</v>
      </c>
      <c r="G6" s="15" t="s">
        <v>14</v>
      </c>
      <c r="H6" s="15" t="s">
        <v>25</v>
      </c>
      <c r="I6" s="15" t="s">
        <v>26</v>
      </c>
      <c r="J6" s="15" t="s">
        <v>27</v>
      </c>
      <c r="K6" s="15" t="s">
        <v>19</v>
      </c>
    </row>
    <row r="7" spans="1:11" x14ac:dyDescent="0.25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tr">
        <f>E3</f>
        <v>MIL</v>
      </c>
      <c r="H7" s="3">
        <v>0</v>
      </c>
      <c r="I7" s="3">
        <v>0</v>
      </c>
      <c r="J7" s="3">
        <v>0</v>
      </c>
      <c r="K7" s="17" t="s">
        <v>22</v>
      </c>
    </row>
    <row r="8" spans="1:11" x14ac:dyDescent="0.25">
      <c r="A8" s="20">
        <v>4</v>
      </c>
      <c r="B8" s="12" t="s">
        <v>28</v>
      </c>
      <c r="C8" s="15" t="s">
        <v>13</v>
      </c>
      <c r="D8" s="15" t="s">
        <v>1</v>
      </c>
      <c r="E8" s="15" t="s">
        <v>23</v>
      </c>
      <c r="F8" s="15" t="s">
        <v>24</v>
      </c>
      <c r="G8" s="15" t="s">
        <v>14</v>
      </c>
      <c r="H8" s="15" t="s">
        <v>25</v>
      </c>
      <c r="I8" s="15" t="s">
        <v>26</v>
      </c>
      <c r="J8" s="28" t="s">
        <v>27</v>
      </c>
      <c r="K8" s="15" t="s">
        <v>19</v>
      </c>
    </row>
    <row r="9" spans="1:11" x14ac:dyDescent="0.25">
      <c r="A9" s="4"/>
      <c r="B9" s="5"/>
      <c r="C9" s="3">
        <v>0.85199999999999998</v>
      </c>
      <c r="D9" s="3">
        <v>35000</v>
      </c>
      <c r="E9" s="3">
        <f>E7</f>
        <v>0.76</v>
      </c>
      <c r="F9" s="3">
        <v>1</v>
      </c>
      <c r="G9" s="3" t="str">
        <f>E3</f>
        <v>MIL</v>
      </c>
      <c r="H9" s="3">
        <v>1.67</v>
      </c>
      <c r="I9" s="3">
        <v>0</v>
      </c>
      <c r="J9" s="3">
        <v>0</v>
      </c>
      <c r="K9" s="3" t="s">
        <v>28</v>
      </c>
    </row>
    <row r="10" spans="1:11" x14ac:dyDescent="0.25">
      <c r="A10" s="20">
        <v>5</v>
      </c>
      <c r="B10" s="14" t="s">
        <v>29</v>
      </c>
      <c r="C10" s="15" t="s">
        <v>13</v>
      </c>
      <c r="D10" s="15" t="s">
        <v>1</v>
      </c>
      <c r="E10" s="15" t="s">
        <v>23</v>
      </c>
      <c r="F10" s="15" t="s">
        <v>24</v>
      </c>
      <c r="G10" s="15" t="s">
        <v>14</v>
      </c>
      <c r="H10" s="15" t="s">
        <v>25</v>
      </c>
      <c r="I10" s="15" t="s">
        <v>26</v>
      </c>
      <c r="J10" s="15" t="s">
        <v>27</v>
      </c>
      <c r="K10" s="15" t="s">
        <v>19</v>
      </c>
    </row>
    <row r="11" spans="1:11" x14ac:dyDescent="0.25">
      <c r="A11" s="4"/>
      <c r="B11" s="5"/>
      <c r="C11" s="3">
        <v>0.85199999999999998</v>
      </c>
      <c r="D11" s="3">
        <v>20000</v>
      </c>
      <c r="E11" s="3">
        <f>E9</f>
        <v>0.76</v>
      </c>
      <c r="F11" s="3">
        <v>1.2</v>
      </c>
      <c r="G11" s="3" t="str">
        <f>E3</f>
        <v>MIL</v>
      </c>
      <c r="H11" s="3">
        <v>0</v>
      </c>
      <c r="I11" s="3">
        <v>0</v>
      </c>
      <c r="J11" s="3">
        <v>0</v>
      </c>
      <c r="K11" s="3" t="s">
        <v>29</v>
      </c>
    </row>
    <row r="12" spans="1:11" s="16" customFormat="1" x14ac:dyDescent="0.25">
      <c r="A12" s="20">
        <v>6</v>
      </c>
      <c r="B12" s="14" t="s">
        <v>31</v>
      </c>
      <c r="C12" s="15" t="s">
        <v>13</v>
      </c>
      <c r="D12" s="28" t="s">
        <v>1</v>
      </c>
      <c r="E12" s="15" t="s">
        <v>23</v>
      </c>
      <c r="F12" s="15" t="s">
        <v>24</v>
      </c>
      <c r="G12" s="15" t="s">
        <v>14</v>
      </c>
      <c r="H12" s="15" t="s">
        <v>25</v>
      </c>
      <c r="I12" s="15" t="s">
        <v>26</v>
      </c>
      <c r="J12" s="15" t="s">
        <v>27</v>
      </c>
      <c r="K12" s="15" t="s">
        <v>19</v>
      </c>
    </row>
    <row r="13" spans="1:11" x14ac:dyDescent="0.25">
      <c r="A13" s="4"/>
      <c r="B13" s="5"/>
      <c r="C13" s="3">
        <v>0.85199999999999998</v>
      </c>
      <c r="D13" s="3">
        <v>37000</v>
      </c>
      <c r="E13" s="3">
        <f>E11</f>
        <v>0.76</v>
      </c>
      <c r="F13" s="3">
        <v>1</v>
      </c>
      <c r="G13" s="3" t="str">
        <f>E3</f>
        <v>MIL</v>
      </c>
      <c r="H13" s="3">
        <v>0</v>
      </c>
      <c r="I13" s="3">
        <v>0</v>
      </c>
      <c r="J13" s="3">
        <v>0</v>
      </c>
      <c r="K13" s="3" t="s">
        <v>31</v>
      </c>
    </row>
    <row r="14" spans="1:11" s="16" customFormat="1" x14ac:dyDescent="0.25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 s="16" customFormat="1" x14ac:dyDescent="0.25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 s="16" customFormat="1" x14ac:dyDescent="0.25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 x14ac:dyDescent="0.25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 x14ac:dyDescent="0.25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 x14ac:dyDescent="0.25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 x14ac:dyDescent="0.25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 x14ac:dyDescent="0.25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 x14ac:dyDescent="0.25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 x14ac:dyDescent="0.25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 x14ac:dyDescent="0.25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 x14ac:dyDescent="0.25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 x14ac:dyDescent="0.25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 x14ac:dyDescent="0.25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 x14ac:dyDescent="0.25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 x14ac:dyDescent="0.25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 x14ac:dyDescent="0.25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 x14ac:dyDescent="0.25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 x14ac:dyDescent="0.25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 x14ac:dyDescent="0.25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 x14ac:dyDescent="0.25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 x14ac:dyDescent="0.25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 x14ac:dyDescent="0.25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 x14ac:dyDescent="0.25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 x14ac:dyDescent="0.25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 x14ac:dyDescent="0.25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 x14ac:dyDescent="0.25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 x14ac:dyDescent="0.25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 x14ac:dyDescent="0.25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 x14ac:dyDescent="0.25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 x14ac:dyDescent="0.25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 x14ac:dyDescent="0.25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 x14ac:dyDescent="0.25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 x14ac:dyDescent="0.25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 x14ac:dyDescent="0.25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 x14ac:dyDescent="0.25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 x14ac:dyDescent="0.25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 x14ac:dyDescent="0.25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 x14ac:dyDescent="0.25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 x14ac:dyDescent="0.25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 x14ac:dyDescent="0.25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 x14ac:dyDescent="0.25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 x14ac:dyDescent="0.25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 x14ac:dyDescent="0.25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 x14ac:dyDescent="0.25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 x14ac:dyDescent="0.25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 x14ac:dyDescent="0.25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 x14ac:dyDescent="0.25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 x14ac:dyDescent="0.25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 x14ac:dyDescent="0.25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 x14ac:dyDescent="0.25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 x14ac:dyDescent="0.25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 x14ac:dyDescent="0.25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 x14ac:dyDescent="0.25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 x14ac:dyDescent="0.25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 x14ac:dyDescent="0.25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 x14ac:dyDescent="0.25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 x14ac:dyDescent="0.25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 x14ac:dyDescent="0.25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 x14ac:dyDescent="0.25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 x14ac:dyDescent="0.25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 x14ac:dyDescent="0.25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 x14ac:dyDescent="0.25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 x14ac:dyDescent="0.25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 x14ac:dyDescent="0.25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 x14ac:dyDescent="0.25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 x14ac:dyDescent="0.25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 x14ac:dyDescent="0.25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 x14ac:dyDescent="0.25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 x14ac:dyDescent="0.25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 x14ac:dyDescent="0.25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 x14ac:dyDescent="0.25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 x14ac:dyDescent="0.25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 x14ac:dyDescent="0.25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 x14ac:dyDescent="0.25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 x14ac:dyDescent="0.25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 x14ac:dyDescent="0.25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 x14ac:dyDescent="0.25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 x14ac:dyDescent="0.25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 x14ac:dyDescent="0.25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 x14ac:dyDescent="0.25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 x14ac:dyDescent="0.25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 x14ac:dyDescent="0.25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 x14ac:dyDescent="0.25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 x14ac:dyDescent="0.25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9" thickBot="1" x14ac:dyDescent="0.3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 x14ac:dyDescent="0.25">
      <c r="G185" s="3"/>
      <c r="H185" s="3"/>
      <c r="I185" s="11"/>
      <c r="J185" s="3"/>
      <c r="K185" s="17"/>
    </row>
    <row r="186" spans="1:11" ht="19" thickBot="1" x14ac:dyDescent="0.3">
      <c r="G186" s="21"/>
      <c r="H186" s="21"/>
      <c r="I186" s="22"/>
      <c r="J186" s="21"/>
      <c r="K186" s="23"/>
    </row>
  </sheetData>
  <conditionalFormatting sqref="A6:A1048576">
    <cfRule type="expression" dxfId="4" priority="4">
      <formula>MOD(ROW(),2)=0</formula>
    </cfRule>
  </conditionalFormatting>
  <conditionalFormatting sqref="A1:K1">
    <cfRule type="expression" dxfId="3" priority="3">
      <formula>MOD(ROW(),2)=0</formula>
    </cfRule>
  </conditionalFormatting>
  <conditionalFormatting sqref="B14:F184 G14:K186">
    <cfRule type="expression" dxfId="2" priority="5">
      <formula>MOD(ROW(),2)=0</formula>
    </cfRule>
  </conditionalFormatting>
  <conditionalFormatting sqref="C2:K2 C3:G3 J3:K3 C4:K4 C5:D5 I5:K5">
    <cfRule type="expression" dxfId="1" priority="2">
      <formula>MOD(ROW(),2)=0</formula>
    </cfRule>
  </conditionalFormatting>
  <conditionalFormatting sqref="C6:K13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Templates</vt:lpstr>
      <vt:lpstr>MD80_1</vt:lpstr>
      <vt:lpstr>MD80_2</vt:lpstr>
      <vt:lpstr>MD80_3</vt:lpstr>
      <vt:lpstr>MD80_4</vt:lpstr>
      <vt:lpstr>MD80_5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William Lampe</cp:lastModifiedBy>
  <dcterms:created xsi:type="dcterms:W3CDTF">2024-11-07T17:59:15Z</dcterms:created>
  <dcterms:modified xsi:type="dcterms:W3CDTF">2026-09-14T21:10:27Z</dcterms:modified>
</cp:coreProperties>
</file>