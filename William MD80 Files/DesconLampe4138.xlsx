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williamlampe/Documents/MATLAB/ASEN 4138/AES-AircraftDesignToolbox/MAIN/Input Excel Sheets/Design Configurations/"/>
    </mc:Choice>
  </mc:AlternateContent>
  <xr:revisionPtr revIDLastSave="0" documentId="13_ncr:1_{7F5FAD94-040A-DC48-B310-141D4651858C}" xr6:coauthVersionLast="47" xr6:coauthVersionMax="47" xr10:uidLastSave="{00000000-0000-0000-0000-000000000000}"/>
  <bookViews>
    <workbookView xWindow="0" yWindow="660" windowWidth="30240" windowHeight="18980" firstSheet="1"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4" l="1"/>
  <c r="P3" i="4"/>
  <c r="P4" i="4"/>
  <c r="P5" i="4"/>
  <c r="P6" i="4"/>
  <c r="P7" i="4"/>
  <c r="P8" i="4"/>
  <c r="O8" i="4" s="1"/>
  <c r="P9" i="4"/>
  <c r="O9" i="4" s="1"/>
  <c r="P10" i="4"/>
  <c r="P11" i="4"/>
  <c r="P2" i="4"/>
  <c r="AP7" i="5"/>
  <c r="AP8" i="5"/>
  <c r="H7" i="4"/>
  <c r="I7" i="4"/>
  <c r="K7" i="4"/>
  <c r="O7" i="4"/>
  <c r="U7" i="4"/>
  <c r="V7" i="4" s="1"/>
  <c r="Y7" i="4"/>
  <c r="Z7" i="4"/>
  <c r="H8" i="4"/>
  <c r="I8" i="4"/>
  <c r="K8" i="4"/>
  <c r="U8" i="4"/>
  <c r="V8" i="4"/>
  <c r="W8" i="4"/>
  <c r="Y8" i="4"/>
  <c r="Z8" i="4"/>
  <c r="H9" i="4"/>
  <c r="I9" i="4"/>
  <c r="K9" i="4"/>
  <c r="U9" i="4"/>
  <c r="V9" i="4" s="1"/>
  <c r="W9" i="4"/>
  <c r="Y9" i="4"/>
  <c r="Z9" i="4"/>
  <c r="H10" i="4"/>
  <c r="I10" i="4"/>
  <c r="K10" i="4"/>
  <c r="O10" i="4"/>
  <c r="U10" i="4"/>
  <c r="V10" i="4"/>
  <c r="W10" i="4"/>
  <c r="Y10" i="4"/>
  <c r="Z10" i="4"/>
  <c r="H11" i="4"/>
  <c r="I11" i="4"/>
  <c r="K11" i="4"/>
  <c r="O11" i="4"/>
  <c r="U11" i="4"/>
  <c r="V11" i="4"/>
  <c r="W11" i="4"/>
  <c r="Y11" i="4"/>
  <c r="Z11" i="4"/>
  <c r="W7" i="4" l="1"/>
  <c r="O6" i="4"/>
  <c r="O3" i="4" l="1"/>
  <c r="O5" i="4"/>
  <c r="AP3" i="5" l="1"/>
  <c r="Z6" i="4"/>
  <c r="Y6" i="4"/>
  <c r="U6" i="4"/>
  <c r="V6" i="4" s="1"/>
  <c r="K6" i="4"/>
  <c r="I6" i="4"/>
  <c r="H6" i="4"/>
  <c r="Z5" i="4"/>
  <c r="Y5" i="4"/>
  <c r="U5" i="4"/>
  <c r="W5" i="4" s="1"/>
  <c r="K5" i="4"/>
  <c r="I5" i="4"/>
  <c r="H5" i="4"/>
  <c r="Z4" i="4"/>
  <c r="Y4" i="4"/>
  <c r="U4" i="4"/>
  <c r="V4" i="4" s="1"/>
  <c r="O4" i="4"/>
  <c r="K4" i="4"/>
  <c r="I4" i="4"/>
  <c r="H4" i="4"/>
  <c r="Z3" i="4"/>
  <c r="Y3" i="4"/>
  <c r="U3" i="4"/>
  <c r="W3" i="4" s="1"/>
  <c r="K3" i="4"/>
  <c r="I3" i="4"/>
  <c r="H3" i="4"/>
  <c r="AP2" i="5"/>
  <c r="W6" i="4" l="1"/>
  <c r="V5" i="4"/>
  <c r="W4" i="4"/>
  <c r="V3" i="4"/>
  <c r="Z2" i="4"/>
  <c r="Y2" i="4"/>
  <c r="U2" i="4"/>
  <c r="W2" i="4" s="1"/>
  <c r="K2" i="4"/>
  <c r="I2" i="4"/>
  <c r="H2" i="4"/>
  <c r="V2" i="4" l="1"/>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<sst xmlns="http://schemas.openxmlformats.org/spreadsheetml/2006/main" count="487" uniqueCount="248">
  <si>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</si>
  <si>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</si>
  <si>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</si>
  <si>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</si>
  <si>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</si>
  <si>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</si>
  <si>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</si>
  <si>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</si>
  <si>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</si>
  <si>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</si>
  <si>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</si>
  <si>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</si>
  <si>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</si>
  <si>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</si>
  <si>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</si>
  <si>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</si>
  <si>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</si>
  <si>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</si>
  <si>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</si>
  <si>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</si>
  <si>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</si>
  <si>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</si>
  <si>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</si>
  <si>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</si>
  <si>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</si>
  <si>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</si>
  <si>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</si>
  <si>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</si>
  <si>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</si>
  <si>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</si>
  <si>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</si>
  <si>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</si>
  <si>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</si>
  <si>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</si>
  <si>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</si>
  <si>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</si>
  <si>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</si>
  <si>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</si>
  <si>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</si>
  <si>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</si>
  <si>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</si>
  <si>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</si>
  <si>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</si>
  <si>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</si>
  <si>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</si>
  <si>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</si>
  <si>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</si>
  <si>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</si>
  <si>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</si>
  <si>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</si>
  <si>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</si>
  <si>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</si>
  <si>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</si>
  <si>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</si>
  <si>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</si>
  <si>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</si>
  <si>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</si>
  <si>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</si>
  <si>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</si>
  <si>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</si>
  <si>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</si>
  <si>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</si>
  <si>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</si>
  <si>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</si>
  <si>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</si>
  <si>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</si>
  <si>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</si>
  <si>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</si>
  <si>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</si>
  <si>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</si>
  <si>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</si>
  <si>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</si>
  <si>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</si>
  <si>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</si>
  <si>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</si>
  <si>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</si>
  <si>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</si>
  <si>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</si>
  <si>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</si>
  <si>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</si>
  <si>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</si>
  <si>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</si>
  <si>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</si>
  <si>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</si>
  <si>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</si>
  <si>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</si>
  <si>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</si>
  <si>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</si>
  <si>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</si>
  <si>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</si>
  <si>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</si>
  <si>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</si>
  <si>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</si>
  <si>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</si>
  <si>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</si>
  <si>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</si>
  <si>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</si>
  <si>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</si>
  <si>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</si>
  <si>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</si>
  <si>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</si>
  <si>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</si>
  <si>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</si>
  <si>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</si>
  <si>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</si>
  <si>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</si>
  <si>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</si>
  <si>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</si>
  <si>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</si>
  <si>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</si>
  <si>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</si>
  <si>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</si>
  <si>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</si>
  <si>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</si>
  <si>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</si>
  <si>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</si>
  <si>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</si>
  <si>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</si>
  <si>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</si>
  <si>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</si>
  <si>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</si>
  <si>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</si>
  <si>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</si>
  <si>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</si>
  <si>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</si>
  <si>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</si>
  <si>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</si>
  <si>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</si>
  <si>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</si>
  <si>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</si>
  <si>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</si>
  <si>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</si>
  <si>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</si>
  <si>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</si>
  <si>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</si>
  <si>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</si>
  <si>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</si>
  <si>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</si>
  <si>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</si>
  <si>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</si>
  <si>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</si>
  <si>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</si>
  <si>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</si>
  <si>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</si>
  <si>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</si>
  <si>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</si>
  <si>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</si>
  <si>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</si>
  <si>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</si>
  <si>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</si>
  <si>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</si>
  <si>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</si>
  <si>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</si>
  <si>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</si>
  <si>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</si>
  <si>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</si>
  <si>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</si>
  <si>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</si>
  <si>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</si>
  <si>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</si>
  <si>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</si>
  <si>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</si>
  <si>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</si>
  <si>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</si>
  <si>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</si>
  <si>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</si>
  <si>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</si>
  <si>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</si>
  <si>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</si>
  <si>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</si>
  <si>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</si>
  <si>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</si>
  <si>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</si>
  <si>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</si>
  <si>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</si>
  <si>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</si>
  <si>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</si>
  <si>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</si>
  <si>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</si>
  <si>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</si>
  <si>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</si>
  <si>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</si>
  <si>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</si>
  <si>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</si>
  <si>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</si>
  <si>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</si>
  <si>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</si>
  <si>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</si>
  <si>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</si>
  <si>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</si>
  <si>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</si>
  <si>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</si>
  <si>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</si>
  <si>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</si>
  <si>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</si>
  <si>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</si>
  <si>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</si>
  <si>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</si>
  <si>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</si>
  <si>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</si>
  <si>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</si>
  <si>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</si>
  <si>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</si>
  <si>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</si>
  <si>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</si>
  <si>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</si>
  <si>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</si>
  <si>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</si>
  <si>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</si>
  <si>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</si>
  <si>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</si>
  <si>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</si>
  <si>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Emperical Wave Drag Factor.  Example valuse:  1 = Ideal Sears-Haack Body, Typcial range for supersonic aircraft is 1.8 - 2.2 for clean, smoothly blended contoured design, 2.5 - 3 = Bumpy volume distribution.  An F-15 has an EWD around 2.9.</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</si>
  <si>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</si>
  <si>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</si>
  <si>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</si>
  <si>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</si>
  <si>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</si>
  <si>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</si>
  <si>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</si>
  <si>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</si>
  <si>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</si>
  <si>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</si>
  <si>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</si>
  <si>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</si>
  <si>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</si>
  <si>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</si>
  <si>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</si>
  <si>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</si>
  <si>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</si>
  <si>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</si>
  <si>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</si>
  <si>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</si>
  <si>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</si>
  <si>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</si>
  <si>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</si>
  <si>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DSMA-523A</t>
  </si>
  <si>
    <t>NACA 0004</t>
  </si>
  <si>
    <t>MD80_1</t>
  </si>
  <si>
    <t>MD80_2</t>
  </si>
  <si>
    <t>MD80_3</t>
  </si>
  <si>
    <t>MD80_4</t>
  </si>
  <si>
    <t>MD80_5</t>
  </si>
  <si>
    <t>MD80_6</t>
  </si>
  <si>
    <t>MD80_7</t>
  </si>
  <si>
    <t>MD80_8</t>
  </si>
  <si>
    <t>MD80_9</t>
  </si>
  <si>
    <t>MD80_10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</si>
</sst>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b/>
      <sz val="9"/>
      <color rgb="FF000000"/>
      <name val="Tahoma"/>
      <family val="2"/>
    </font>
    <font>
      <sz val="9"/>
      <color rgb="FF000000"/>
      <name val="Tahoma"/>
      <family val="2"/>
    </font>
    <font>
      <sz val="11"/>
      <color rgb="FF000000"/>
      <name val="Calibri"/>
      <family val="2"/>
      <scheme val="minor"/>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4" fillId="13" borderId="0" xfId="0" applyFont="1" applyFill="1"/>
    <xf numFmtId="0" fontId="7" fillId="0" borderId="2"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GitHub%20Code%20Workspace/AircraftDesignToolbox/ASEN4138_DEMO.xlsx" TargetMode="External"/><Relationship Id="rId1" Type="http://schemas.openxmlformats.org/officeDocument/2006/relationships/externalLinkPath" Target="file:///C:/GitHub%20Code%20Workspace/AircraftDesignToolbox/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zoomScale="125" workbookViewId="0">
      <selection activeCell="C83" sqref="C83"/>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212</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3"/>
      <c r="B50" s="23"/>
      <c r="C50" s="24"/>
      <c r="D50" s="25"/>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0"/>
      <c r="B71" s="20"/>
      <c r="C71" s="24"/>
      <c r="D71" s="26"/>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tabSelected="1" zoomScale="122" workbookViewId="0">
      <selection activeCell="O3" sqref="O3"/>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1" t="s">
        <v>44</v>
      </c>
      <c r="B1" s="11" t="s">
        <v>207</v>
      </c>
      <c r="C1" s="11" t="s">
        <v>5</v>
      </c>
      <c r="D1" s="11" t="s">
        <v>169</v>
      </c>
      <c r="E1" s="11" t="s">
        <v>178</v>
      </c>
      <c r="F1" s="11" t="s">
        <v>0</v>
      </c>
      <c r="G1" s="11" t="s">
        <v>1</v>
      </c>
      <c r="H1" s="11" t="s">
        <v>2</v>
      </c>
      <c r="I1" s="11" t="s">
        <v>3</v>
      </c>
      <c r="J1" s="11" t="s">
        <v>4</v>
      </c>
      <c r="K1" s="11" t="s">
        <v>22</v>
      </c>
      <c r="L1" s="11" t="s">
        <v>6</v>
      </c>
      <c r="M1" s="11" t="s">
        <v>177</v>
      </c>
      <c r="N1" s="12" t="s">
        <v>45</v>
      </c>
      <c r="O1" s="12" t="s">
        <v>46</v>
      </c>
      <c r="P1" s="12" t="s">
        <v>47</v>
      </c>
      <c r="Q1" s="12" t="s">
        <v>48</v>
      </c>
      <c r="R1" s="12" t="s">
        <v>49</v>
      </c>
      <c r="S1" s="12" t="s">
        <v>97</v>
      </c>
      <c r="T1" s="12" t="s">
        <v>52</v>
      </c>
      <c r="U1" s="13" t="s">
        <v>23</v>
      </c>
      <c r="V1" s="13" t="s">
        <v>24</v>
      </c>
      <c r="W1" s="13" t="s">
        <v>36</v>
      </c>
      <c r="X1" s="13" t="s">
        <v>37</v>
      </c>
      <c r="Y1" s="13" t="s">
        <v>10</v>
      </c>
      <c r="Z1" s="13" t="s">
        <v>7</v>
      </c>
      <c r="AA1" s="13" t="s">
        <v>11</v>
      </c>
      <c r="AB1" s="14" t="s">
        <v>25</v>
      </c>
      <c r="AC1" s="14" t="s">
        <v>26</v>
      </c>
      <c r="AD1" s="14" t="s">
        <v>38</v>
      </c>
      <c r="AE1" s="14" t="s">
        <v>39</v>
      </c>
      <c r="AF1" s="14" t="s">
        <v>20</v>
      </c>
      <c r="AG1" s="14" t="s">
        <v>17</v>
      </c>
      <c r="AH1" s="14" t="s">
        <v>21</v>
      </c>
      <c r="AI1" s="15" t="s">
        <v>27</v>
      </c>
      <c r="AJ1" s="15" t="s">
        <v>28</v>
      </c>
      <c r="AK1" s="15" t="s">
        <v>40</v>
      </c>
      <c r="AL1" s="15" t="s">
        <v>41</v>
      </c>
      <c r="AM1" s="15" t="s">
        <v>15</v>
      </c>
      <c r="AN1" s="15" t="s">
        <v>12</v>
      </c>
      <c r="AO1" s="15" t="s">
        <v>16</v>
      </c>
      <c r="AP1" s="16" t="s">
        <v>29</v>
      </c>
      <c r="AQ1" s="16" t="s">
        <v>30</v>
      </c>
      <c r="AR1" s="16" t="s">
        <v>42</v>
      </c>
      <c r="AS1" s="16" t="s">
        <v>43</v>
      </c>
      <c r="AT1" s="16" t="s">
        <v>35</v>
      </c>
      <c r="AU1" s="16" t="s">
        <v>31</v>
      </c>
      <c r="AV1" s="16" t="s">
        <v>34</v>
      </c>
    </row>
    <row r="2" spans="1:48" x14ac:dyDescent="0.2">
      <c r="A2" s="4" t="s">
        <v>238</v>
      </c>
      <c r="B2" s="4" t="s">
        <v>210</v>
      </c>
      <c r="C2" s="4">
        <v>0</v>
      </c>
      <c r="D2" s="4">
        <v>0.76</v>
      </c>
      <c r="E2" s="4">
        <v>0.76</v>
      </c>
      <c r="F2" s="4">
        <v>147.67060000000001</v>
      </c>
      <c r="G2" s="4">
        <v>15</v>
      </c>
      <c r="H2" s="4">
        <f>F2/G2</f>
        <v>9.8447066666666672</v>
      </c>
      <c r="I2" s="4">
        <f>0.25*PI()*(G2)^2</f>
        <v>176.71458676442586</v>
      </c>
      <c r="J2" s="4">
        <v>0</v>
      </c>
      <c r="K2" s="4">
        <f>PI()*G2*F2</f>
        <v>6958.8130816679532</v>
      </c>
      <c r="L2" s="4">
        <v>1</v>
      </c>
      <c r="M2" s="4">
        <v>1</v>
      </c>
      <c r="N2" s="4">
        <v>850</v>
      </c>
      <c r="O2" s="4">
        <f>2*N2-G2*(2*N2/(SQRT(P2*N2)*(1+Q2)))*2</f>
        <v>1270.5263157894738</v>
      </c>
      <c r="P2" s="4">
        <f>(95^2)/N2</f>
        <v>10.617647058823529</v>
      </c>
      <c r="Q2" s="4">
        <v>0.25</v>
      </c>
      <c r="R2" s="4">
        <v>35</v>
      </c>
      <c r="S2" s="4">
        <v>30</v>
      </c>
      <c r="T2" s="4">
        <v>1.1000000000000001</v>
      </c>
      <c r="U2" s="4">
        <f>0.25*N2</f>
        <v>212.5</v>
      </c>
      <c r="V2" s="4">
        <f>2*U2</f>
        <v>425</v>
      </c>
      <c r="W2" s="4">
        <f>((107.67717/3)^2)/U2</f>
        <v>6.062417223115764</v>
      </c>
      <c r="X2" s="4">
        <v>0.4</v>
      </c>
      <c r="Y2" s="4">
        <f>35</f>
        <v>35</v>
      </c>
      <c r="Z2" s="4">
        <f>(15+(15*0.4))/2</f>
        <v>10.5</v>
      </c>
      <c r="AA2" s="4">
        <v>1.1000000000000001</v>
      </c>
      <c r="AB2" s="4">
        <v>0</v>
      </c>
      <c r="AC2" s="4">
        <v>0</v>
      </c>
      <c r="AD2" s="4">
        <v>0</v>
      </c>
      <c r="AE2" s="4">
        <v>0</v>
      </c>
      <c r="AF2" s="4">
        <v>0</v>
      </c>
      <c r="AG2" s="4">
        <v>0</v>
      </c>
      <c r="AH2" s="4">
        <v>0</v>
      </c>
      <c r="AI2" s="4">
        <v>302.25</v>
      </c>
      <c r="AJ2" s="4">
        <v>604.5</v>
      </c>
      <c r="AK2" s="4">
        <v>4.2622450000000001</v>
      </c>
      <c r="AL2" s="4">
        <v>1</v>
      </c>
      <c r="AM2" s="4">
        <v>35</v>
      </c>
      <c r="AN2" s="4">
        <v>10.5</v>
      </c>
      <c r="AO2" s="4">
        <v>1.1000000000000001</v>
      </c>
      <c r="AP2" s="4">
        <v>0</v>
      </c>
      <c r="AQ2" s="4">
        <v>0</v>
      </c>
      <c r="AR2" s="4">
        <v>0</v>
      </c>
      <c r="AS2" s="4">
        <v>0</v>
      </c>
      <c r="AT2" s="4">
        <v>0</v>
      </c>
      <c r="AU2" s="4">
        <v>0</v>
      </c>
      <c r="AV2" s="4">
        <v>0</v>
      </c>
    </row>
    <row r="3" spans="1:48" x14ac:dyDescent="0.2">
      <c r="A3" s="4" t="s">
        <v>239</v>
      </c>
      <c r="B3" s="4" t="s">
        <v>210</v>
      </c>
      <c r="C3" s="4">
        <v>0</v>
      </c>
      <c r="D3" s="4">
        <v>0.76</v>
      </c>
      <c r="E3" s="4">
        <v>0.76</v>
      </c>
      <c r="F3" s="4">
        <v>147.67060000000001</v>
      </c>
      <c r="G3" s="4">
        <v>15</v>
      </c>
      <c r="H3" s="4">
        <f>F3/G3</f>
        <v>9.8447066666666672</v>
      </c>
      <c r="I3" s="4">
        <f>0.25*PI()*(G3)^2</f>
        <v>176.71458676442586</v>
      </c>
      <c r="J3" s="4">
        <v>0</v>
      </c>
      <c r="K3" s="4">
        <f>PI()*G3*F3</f>
        <v>6958.8130816679532</v>
      </c>
      <c r="L3" s="4">
        <v>1</v>
      </c>
      <c r="M3" s="4">
        <v>1</v>
      </c>
      <c r="N3" s="4">
        <v>900</v>
      </c>
      <c r="O3" s="4">
        <f t="shared" ref="O3:O5" si="0">2*N3-G3*(2*N3/(SQRT(P3*N3)*(1+Q3)))*2</f>
        <v>1345.2631578947369</v>
      </c>
      <c r="P3" s="4">
        <f t="shared" ref="P3:P11" si="1">(95^2)/N3</f>
        <v>10.027777777777779</v>
      </c>
      <c r="Q3" s="4">
        <v>0.25</v>
      </c>
      <c r="R3" s="4">
        <v>35</v>
      </c>
      <c r="S3" s="4">
        <v>30</v>
      </c>
      <c r="T3" s="4">
        <v>1.1000000000000001</v>
      </c>
      <c r="U3" s="4">
        <f>0.25*N3</f>
        <v>225</v>
      </c>
      <c r="V3" s="4">
        <f>2*U3</f>
        <v>450</v>
      </c>
      <c r="W3" s="4">
        <f>((107.67717/3)^2)/U3</f>
        <v>5.725616266276</v>
      </c>
      <c r="X3" s="4">
        <v>0.4</v>
      </c>
      <c r="Y3" s="4">
        <f>35</f>
        <v>35</v>
      </c>
      <c r="Z3" s="4">
        <f>(15+(15*0.4))/2</f>
        <v>10.5</v>
      </c>
      <c r="AA3" s="4">
        <v>1.1000000000000001</v>
      </c>
      <c r="AB3" s="4">
        <v>0</v>
      </c>
      <c r="AC3" s="4">
        <v>0</v>
      </c>
      <c r="AD3" s="4">
        <v>0</v>
      </c>
      <c r="AE3" s="4">
        <v>0</v>
      </c>
      <c r="AF3" s="4">
        <v>0</v>
      </c>
      <c r="AG3" s="4">
        <v>0</v>
      </c>
      <c r="AH3" s="4">
        <v>0</v>
      </c>
      <c r="AI3" s="4">
        <v>302.25</v>
      </c>
      <c r="AJ3" s="4">
        <v>604.5</v>
      </c>
      <c r="AK3" s="4">
        <v>4.2622450000000001</v>
      </c>
      <c r="AL3" s="4">
        <v>1</v>
      </c>
      <c r="AM3" s="4">
        <v>35</v>
      </c>
      <c r="AN3" s="4">
        <v>10.5</v>
      </c>
      <c r="AO3" s="4">
        <v>1.1000000000000001</v>
      </c>
      <c r="AP3" s="4">
        <v>0</v>
      </c>
      <c r="AQ3" s="4">
        <v>0</v>
      </c>
      <c r="AR3" s="4">
        <v>0</v>
      </c>
      <c r="AS3" s="4">
        <v>0</v>
      </c>
      <c r="AT3" s="4">
        <v>0</v>
      </c>
      <c r="AU3" s="4">
        <v>0</v>
      </c>
      <c r="AV3" s="4">
        <v>0</v>
      </c>
    </row>
    <row r="4" spans="1:48" x14ac:dyDescent="0.2">
      <c r="A4" s="4" t="s">
        <v>240</v>
      </c>
      <c r="B4" s="4" t="s">
        <v>210</v>
      </c>
      <c r="C4" s="4">
        <v>0</v>
      </c>
      <c r="D4" s="4">
        <v>0.76</v>
      </c>
      <c r="E4" s="4">
        <v>0.76</v>
      </c>
      <c r="F4" s="4">
        <v>147.67060000000001</v>
      </c>
      <c r="G4" s="4">
        <v>15</v>
      </c>
      <c r="H4" s="4">
        <f>F4/G4</f>
        <v>9.8447066666666672</v>
      </c>
      <c r="I4" s="4">
        <f>0.25*PI()*(G4)^2</f>
        <v>176.71458676442586</v>
      </c>
      <c r="J4" s="4">
        <v>0</v>
      </c>
      <c r="K4" s="4">
        <f>PI()*G4*F4</f>
        <v>6958.8130816679532</v>
      </c>
      <c r="L4" s="4">
        <v>1</v>
      </c>
      <c r="M4" s="4">
        <v>1</v>
      </c>
      <c r="N4" s="4">
        <v>950</v>
      </c>
      <c r="O4" s="4">
        <f t="shared" si="0"/>
        <v>1420</v>
      </c>
      <c r="P4" s="4">
        <f t="shared" si="1"/>
        <v>9.5</v>
      </c>
      <c r="Q4" s="4">
        <v>0.25</v>
      </c>
      <c r="R4" s="4">
        <v>35</v>
      </c>
      <c r="S4" s="4">
        <v>30</v>
      </c>
      <c r="T4" s="4">
        <v>1.1000000000000001</v>
      </c>
      <c r="U4" s="4">
        <f>0.25*N4</f>
        <v>237.5</v>
      </c>
      <c r="V4" s="4">
        <f>2*U4</f>
        <v>475</v>
      </c>
      <c r="W4" s="4">
        <f>((107.67717/3)^2)/U4</f>
        <v>5.4242680417351572</v>
      </c>
      <c r="X4" s="4">
        <v>0.4</v>
      </c>
      <c r="Y4" s="4">
        <f>35</f>
        <v>35</v>
      </c>
      <c r="Z4" s="4">
        <f>(15+(15*0.4))/2</f>
        <v>10.5</v>
      </c>
      <c r="AA4" s="4">
        <v>1.1000000000000001</v>
      </c>
      <c r="AB4" s="4">
        <v>0</v>
      </c>
      <c r="AC4" s="4">
        <v>0</v>
      </c>
      <c r="AD4" s="4">
        <v>0</v>
      </c>
      <c r="AE4" s="4">
        <v>0</v>
      </c>
      <c r="AF4" s="4">
        <v>0</v>
      </c>
      <c r="AG4" s="4">
        <v>0</v>
      </c>
      <c r="AH4" s="4">
        <v>0</v>
      </c>
      <c r="AI4" s="4">
        <v>302.25</v>
      </c>
      <c r="AJ4" s="4">
        <v>604.5</v>
      </c>
      <c r="AK4" s="4">
        <v>4.2622450000000001</v>
      </c>
      <c r="AL4" s="4">
        <v>1</v>
      </c>
      <c r="AM4" s="4">
        <v>35</v>
      </c>
      <c r="AN4" s="4">
        <v>10.5</v>
      </c>
      <c r="AO4" s="4">
        <v>1.1000000000000001</v>
      </c>
      <c r="AP4" s="4">
        <v>0</v>
      </c>
      <c r="AQ4" s="4">
        <v>0</v>
      </c>
      <c r="AR4" s="4">
        <v>0</v>
      </c>
      <c r="AS4" s="4">
        <v>0</v>
      </c>
      <c r="AT4" s="4">
        <v>0</v>
      </c>
      <c r="AU4" s="4">
        <v>0</v>
      </c>
      <c r="AV4" s="4">
        <v>0</v>
      </c>
    </row>
    <row r="5" spans="1:48" x14ac:dyDescent="0.2">
      <c r="A5" s="4" t="s">
        <v>241</v>
      </c>
      <c r="B5" s="4" t="s">
        <v>210</v>
      </c>
      <c r="C5" s="4">
        <v>0</v>
      </c>
      <c r="D5" s="4">
        <v>0.76</v>
      </c>
      <c r="E5" s="4">
        <v>0.76</v>
      </c>
      <c r="F5" s="4">
        <v>147.67060000000001</v>
      </c>
      <c r="G5" s="4">
        <v>15</v>
      </c>
      <c r="H5" s="4">
        <f>F5/G5</f>
        <v>9.8447066666666672</v>
      </c>
      <c r="I5" s="4">
        <f>0.25*PI()*(G5)^2</f>
        <v>176.71458676442586</v>
      </c>
      <c r="J5" s="4">
        <v>0</v>
      </c>
      <c r="K5" s="4">
        <f>PI()*G5*F5</f>
        <v>6958.8130816679532</v>
      </c>
      <c r="L5" s="4">
        <v>1</v>
      </c>
      <c r="M5" s="4">
        <v>1</v>
      </c>
      <c r="N5" s="4">
        <v>1000</v>
      </c>
      <c r="O5" s="4">
        <f t="shared" si="0"/>
        <v>1494.7368421052631</v>
      </c>
      <c r="P5" s="4">
        <f t="shared" si="1"/>
        <v>9.0250000000000004</v>
      </c>
      <c r="Q5" s="4">
        <v>0.25</v>
      </c>
      <c r="R5" s="4">
        <v>35</v>
      </c>
      <c r="S5" s="4">
        <v>30</v>
      </c>
      <c r="T5" s="4">
        <v>1.1000000000000001</v>
      </c>
      <c r="U5" s="4">
        <f>0.25*N5</f>
        <v>250</v>
      </c>
      <c r="V5" s="4">
        <f>2*U5</f>
        <v>500</v>
      </c>
      <c r="W5" s="4">
        <f>((107.67717/3)^2)/U5</f>
        <v>5.1530546396484</v>
      </c>
      <c r="X5" s="4">
        <v>0.4</v>
      </c>
      <c r="Y5" s="4">
        <f>35</f>
        <v>35</v>
      </c>
      <c r="Z5" s="4">
        <f>(15+(15*0.4))/2</f>
        <v>10.5</v>
      </c>
      <c r="AA5" s="4">
        <v>1.1000000000000001</v>
      </c>
      <c r="AB5" s="4">
        <v>0</v>
      </c>
      <c r="AC5" s="4">
        <v>0</v>
      </c>
      <c r="AD5" s="4">
        <v>0</v>
      </c>
      <c r="AE5" s="4">
        <v>0</v>
      </c>
      <c r="AF5" s="4">
        <v>0</v>
      </c>
      <c r="AG5" s="4">
        <v>0</v>
      </c>
      <c r="AH5" s="4">
        <v>0</v>
      </c>
      <c r="AI5" s="4">
        <v>302.25</v>
      </c>
      <c r="AJ5" s="4">
        <v>604.5</v>
      </c>
      <c r="AK5" s="4">
        <v>4.2622450000000001</v>
      </c>
      <c r="AL5" s="4">
        <v>1</v>
      </c>
      <c r="AM5" s="4">
        <v>35</v>
      </c>
      <c r="AN5" s="4">
        <v>10.5</v>
      </c>
      <c r="AO5" s="4">
        <v>1.1000000000000001</v>
      </c>
      <c r="AP5" s="4">
        <v>0</v>
      </c>
      <c r="AQ5" s="4">
        <v>0</v>
      </c>
      <c r="AR5" s="4">
        <v>0</v>
      </c>
      <c r="AS5" s="4">
        <v>0</v>
      </c>
      <c r="AT5" s="4">
        <v>0</v>
      </c>
      <c r="AU5" s="4">
        <v>0</v>
      </c>
      <c r="AV5" s="4">
        <v>0</v>
      </c>
    </row>
    <row r="6" spans="1:48" x14ac:dyDescent="0.2">
      <c r="A6" s="4" t="s">
        <v>242</v>
      </c>
      <c r="B6" s="4" t="s">
        <v>210</v>
      </c>
      <c r="C6" s="4">
        <v>0</v>
      </c>
      <c r="D6" s="4">
        <v>0.76</v>
      </c>
      <c r="E6" s="4">
        <v>0.76</v>
      </c>
      <c r="F6" s="4">
        <v>147.67060000000001</v>
      </c>
      <c r="G6" s="4">
        <v>15</v>
      </c>
      <c r="H6" s="4">
        <f>F6/G6</f>
        <v>9.8447066666666672</v>
      </c>
      <c r="I6" s="4">
        <f>0.25*PI()*(G6)^2</f>
        <v>176.71458676442586</v>
      </c>
      <c r="J6" s="4">
        <v>0</v>
      </c>
      <c r="K6" s="4">
        <f>PI()*G6*F6</f>
        <v>6958.8130816679532</v>
      </c>
      <c r="L6" s="4">
        <v>1</v>
      </c>
      <c r="M6" s="4">
        <v>1</v>
      </c>
      <c r="N6" s="4">
        <v>1050</v>
      </c>
      <c r="O6" s="4">
        <f>2*N6-G6*(2*N6/(SQRT(P6*N6)*(1+Q6)))*2</f>
        <v>1569.4736842105262</v>
      </c>
      <c r="P6" s="4">
        <f t="shared" si="1"/>
        <v>8.5952380952380949</v>
      </c>
      <c r="Q6" s="4">
        <v>0.25</v>
      </c>
      <c r="R6" s="4">
        <v>35</v>
      </c>
      <c r="S6" s="4">
        <v>30</v>
      </c>
      <c r="T6" s="4">
        <v>1.1000000000000001</v>
      </c>
      <c r="U6" s="4">
        <f>0.25*N6</f>
        <v>262.5</v>
      </c>
      <c r="V6" s="4">
        <f>2*U6</f>
        <v>525</v>
      </c>
      <c r="W6" s="4">
        <f>((107.67717/3)^2)/U6</f>
        <v>4.9076710853794285</v>
      </c>
      <c r="X6" s="4">
        <v>0.4</v>
      </c>
      <c r="Y6" s="4">
        <f>35</f>
        <v>35</v>
      </c>
      <c r="Z6" s="4">
        <f>(15+(15*0.4))/2</f>
        <v>10.5</v>
      </c>
      <c r="AA6" s="4">
        <v>1.1000000000000001</v>
      </c>
      <c r="AB6" s="4">
        <v>0</v>
      </c>
      <c r="AC6" s="4">
        <v>0</v>
      </c>
      <c r="AD6" s="4">
        <v>0</v>
      </c>
      <c r="AE6" s="4">
        <v>0</v>
      </c>
      <c r="AF6" s="4">
        <v>0</v>
      </c>
      <c r="AG6" s="4">
        <v>0</v>
      </c>
      <c r="AH6" s="4">
        <v>0</v>
      </c>
      <c r="AI6" s="4">
        <v>302.25</v>
      </c>
      <c r="AJ6" s="4">
        <v>604.5</v>
      </c>
      <c r="AK6" s="4">
        <v>4.2622450000000001</v>
      </c>
      <c r="AL6" s="4">
        <v>1</v>
      </c>
      <c r="AM6" s="4">
        <v>35</v>
      </c>
      <c r="AN6" s="4">
        <v>10.5</v>
      </c>
      <c r="AO6" s="4">
        <v>1.1000000000000001</v>
      </c>
      <c r="AP6" s="4">
        <v>0</v>
      </c>
      <c r="AQ6" s="4">
        <v>0</v>
      </c>
      <c r="AR6" s="4">
        <v>0</v>
      </c>
      <c r="AS6" s="4">
        <v>0</v>
      </c>
      <c r="AT6" s="4">
        <v>0</v>
      </c>
      <c r="AU6" s="4">
        <v>0</v>
      </c>
      <c r="AV6" s="4">
        <v>0</v>
      </c>
    </row>
    <row r="7" spans="1:48" x14ac:dyDescent="0.2">
      <c r="A7" s="4" t="s">
        <v>243</v>
      </c>
      <c r="B7" s="4" t="s">
        <v>210</v>
      </c>
      <c r="C7" s="4">
        <v>0</v>
      </c>
      <c r="D7" s="4">
        <v>0.76</v>
      </c>
      <c r="E7" s="4">
        <v>0.76</v>
      </c>
      <c r="F7" s="4">
        <v>147.67060000000001</v>
      </c>
      <c r="G7" s="4">
        <v>15</v>
      </c>
      <c r="H7" s="4">
        <f t="shared" ref="H7:H11" si="2">F7/G7</f>
        <v>9.8447066666666672</v>
      </c>
      <c r="I7" s="4">
        <f t="shared" ref="I7:I11" si="3">0.25*PI()*(G7)^2</f>
        <v>176.71458676442586</v>
      </c>
      <c r="J7" s="4">
        <v>1</v>
      </c>
      <c r="K7" s="4">
        <f t="shared" ref="K7:K11" si="4">PI()*G7*F7</f>
        <v>6958.8130816679532</v>
      </c>
      <c r="L7" s="4">
        <v>1</v>
      </c>
      <c r="M7" s="4">
        <v>1</v>
      </c>
      <c r="N7" s="4">
        <v>1100</v>
      </c>
      <c r="O7" s="4">
        <f t="shared" ref="O7:O11" si="5">2*N7-G7*(2*N7/(SQRT(P7*N7)*(1+Q7)))*2</f>
        <v>1644.2105263157896</v>
      </c>
      <c r="P7" s="4">
        <f t="shared" si="1"/>
        <v>8.204545454545455</v>
      </c>
      <c r="Q7" s="4">
        <v>0.25</v>
      </c>
      <c r="R7" s="4">
        <v>35</v>
      </c>
      <c r="S7" s="4">
        <v>30</v>
      </c>
      <c r="T7" s="4">
        <v>1.1000000000000001</v>
      </c>
      <c r="U7" s="4">
        <f t="shared" ref="U7:U11" si="6">0.25*N7</f>
        <v>275</v>
      </c>
      <c r="V7" s="4">
        <f t="shared" ref="V7:V11" si="7">2*U7</f>
        <v>550</v>
      </c>
      <c r="W7" s="4">
        <f t="shared" ref="W7:W11" si="8">((107.67717/3)^2)/U7</f>
        <v>4.6845951269530905</v>
      </c>
      <c r="X7" s="4">
        <v>1.4</v>
      </c>
      <c r="Y7" s="4">
        <f>35</f>
        <v>35</v>
      </c>
      <c r="Z7" s="4">
        <f t="shared" ref="Z7:Z11" si="9">(15+(15*0.4))/2</f>
        <v>10.5</v>
      </c>
      <c r="AA7" s="4">
        <v>1.1000000000000001</v>
      </c>
      <c r="AB7" s="4">
        <v>0</v>
      </c>
      <c r="AC7" s="4">
        <v>0</v>
      </c>
      <c r="AD7" s="4">
        <v>0</v>
      </c>
      <c r="AE7" s="4">
        <v>0</v>
      </c>
      <c r="AF7" s="4">
        <v>0</v>
      </c>
      <c r="AG7" s="4">
        <v>0</v>
      </c>
      <c r="AH7" s="4">
        <v>0</v>
      </c>
      <c r="AI7" s="4">
        <v>302.25</v>
      </c>
      <c r="AJ7" s="4">
        <v>604.5</v>
      </c>
      <c r="AK7" s="4">
        <v>4.2622450000000001</v>
      </c>
      <c r="AL7" s="4">
        <v>1</v>
      </c>
      <c r="AM7" s="4">
        <v>35</v>
      </c>
      <c r="AN7" s="4">
        <v>10.5</v>
      </c>
      <c r="AO7" s="4">
        <v>1.1000000000000001</v>
      </c>
      <c r="AP7" s="4">
        <v>0</v>
      </c>
      <c r="AQ7" s="4">
        <v>0</v>
      </c>
      <c r="AR7" s="4">
        <v>0</v>
      </c>
      <c r="AS7" s="4">
        <v>0</v>
      </c>
      <c r="AT7" s="4">
        <v>0</v>
      </c>
      <c r="AU7" s="4">
        <v>0</v>
      </c>
      <c r="AV7" s="4">
        <v>0</v>
      </c>
    </row>
    <row r="8" spans="1:48" x14ac:dyDescent="0.2">
      <c r="A8" s="4" t="s">
        <v>244</v>
      </c>
      <c r="B8" s="4" t="s">
        <v>210</v>
      </c>
      <c r="C8" s="4">
        <v>0</v>
      </c>
      <c r="D8" s="4">
        <v>0.76</v>
      </c>
      <c r="E8" s="4">
        <v>0.76</v>
      </c>
      <c r="F8" s="4">
        <v>147.67060000000001</v>
      </c>
      <c r="G8" s="4">
        <v>15</v>
      </c>
      <c r="H8" s="4">
        <f t="shared" si="2"/>
        <v>9.8447066666666672</v>
      </c>
      <c r="I8" s="4">
        <f t="shared" si="3"/>
        <v>176.71458676442586</v>
      </c>
      <c r="J8" s="4">
        <v>2</v>
      </c>
      <c r="K8" s="4">
        <f t="shared" si="4"/>
        <v>6958.8130816679532</v>
      </c>
      <c r="L8" s="4">
        <v>1</v>
      </c>
      <c r="M8" s="4">
        <v>1</v>
      </c>
      <c r="N8" s="4">
        <v>1150</v>
      </c>
      <c r="O8" s="4">
        <f t="shared" si="5"/>
        <v>1718.9473684210525</v>
      </c>
      <c r="P8" s="4">
        <f t="shared" si="1"/>
        <v>7.8478260869565215</v>
      </c>
      <c r="Q8" s="4">
        <v>0.25</v>
      </c>
      <c r="R8" s="4">
        <v>35</v>
      </c>
      <c r="S8" s="4">
        <v>30</v>
      </c>
      <c r="T8" s="4">
        <v>1.1000000000000001</v>
      </c>
      <c r="U8" s="4">
        <f t="shared" si="6"/>
        <v>287.5</v>
      </c>
      <c r="V8" s="4">
        <f t="shared" si="7"/>
        <v>575</v>
      </c>
      <c r="W8" s="4">
        <f t="shared" si="8"/>
        <v>4.4809170779551302</v>
      </c>
      <c r="X8" s="4">
        <v>2.4</v>
      </c>
      <c r="Y8" s="4">
        <f>35</f>
        <v>35</v>
      </c>
      <c r="Z8" s="4">
        <f t="shared" si="9"/>
        <v>10.5</v>
      </c>
      <c r="AA8" s="4">
        <v>1.1000000000000001</v>
      </c>
      <c r="AB8" s="4">
        <v>0</v>
      </c>
      <c r="AC8" s="4">
        <v>0</v>
      </c>
      <c r="AD8" s="4">
        <v>0</v>
      </c>
      <c r="AE8" s="4">
        <v>0</v>
      </c>
      <c r="AF8" s="4">
        <v>0</v>
      </c>
      <c r="AG8" s="4">
        <v>0</v>
      </c>
      <c r="AH8" s="4">
        <v>0</v>
      </c>
      <c r="AI8" s="4">
        <v>302.25</v>
      </c>
      <c r="AJ8" s="4">
        <v>604.5</v>
      </c>
      <c r="AK8" s="4">
        <v>4.2622450000000001</v>
      </c>
      <c r="AL8" s="4">
        <v>1</v>
      </c>
      <c r="AM8" s="4">
        <v>35</v>
      </c>
      <c r="AN8" s="4">
        <v>10.5</v>
      </c>
      <c r="AO8" s="4">
        <v>1.1000000000000001</v>
      </c>
      <c r="AP8" s="4">
        <v>0</v>
      </c>
      <c r="AQ8" s="4">
        <v>0</v>
      </c>
      <c r="AR8" s="4">
        <v>0</v>
      </c>
      <c r="AS8" s="4">
        <v>0</v>
      </c>
      <c r="AT8" s="4">
        <v>0</v>
      </c>
      <c r="AU8" s="4">
        <v>0</v>
      </c>
      <c r="AV8" s="4">
        <v>0</v>
      </c>
    </row>
    <row r="9" spans="1:48" x14ac:dyDescent="0.2">
      <c r="A9" s="4" t="s">
        <v>245</v>
      </c>
      <c r="B9" s="4" t="s">
        <v>210</v>
      </c>
      <c r="C9" s="4">
        <v>0</v>
      </c>
      <c r="D9" s="4">
        <v>0.76</v>
      </c>
      <c r="E9" s="4">
        <v>0.76</v>
      </c>
      <c r="F9" s="4">
        <v>147.67060000000001</v>
      </c>
      <c r="G9" s="4">
        <v>15</v>
      </c>
      <c r="H9" s="4">
        <f t="shared" si="2"/>
        <v>9.8447066666666672</v>
      </c>
      <c r="I9" s="4">
        <f t="shared" si="3"/>
        <v>176.71458676442586</v>
      </c>
      <c r="J9" s="4">
        <v>3</v>
      </c>
      <c r="K9" s="4">
        <f t="shared" si="4"/>
        <v>6958.8130816679532</v>
      </c>
      <c r="L9" s="4">
        <v>1</v>
      </c>
      <c r="M9" s="4">
        <v>1</v>
      </c>
      <c r="N9" s="4">
        <v>1200</v>
      </c>
      <c r="O9" s="4">
        <f t="shared" si="5"/>
        <v>1793.6842105263158</v>
      </c>
      <c r="P9" s="4">
        <f t="shared" si="1"/>
        <v>7.520833333333333</v>
      </c>
      <c r="Q9" s="4">
        <v>0.25</v>
      </c>
      <c r="R9" s="4">
        <v>35</v>
      </c>
      <c r="S9" s="4">
        <v>30</v>
      </c>
      <c r="T9" s="4">
        <v>1.1000000000000001</v>
      </c>
      <c r="U9" s="4">
        <f t="shared" si="6"/>
        <v>300</v>
      </c>
      <c r="V9" s="4">
        <f t="shared" si="7"/>
        <v>600</v>
      </c>
      <c r="W9" s="4">
        <f t="shared" si="8"/>
        <v>4.2942121997069993</v>
      </c>
      <c r="X9" s="4">
        <v>3.4</v>
      </c>
      <c r="Y9" s="4">
        <f>35</f>
        <v>35</v>
      </c>
      <c r="Z9" s="4">
        <f t="shared" si="9"/>
        <v>10.5</v>
      </c>
      <c r="AA9" s="4">
        <v>1.1000000000000001</v>
      </c>
      <c r="AB9" s="4">
        <v>0</v>
      </c>
      <c r="AC9" s="4">
        <v>0</v>
      </c>
      <c r="AD9" s="4">
        <v>0</v>
      </c>
      <c r="AE9" s="4">
        <v>0</v>
      </c>
      <c r="AF9" s="4">
        <v>0</v>
      </c>
      <c r="AG9" s="4">
        <v>0</v>
      </c>
      <c r="AH9" s="4">
        <v>0</v>
      </c>
      <c r="AI9" s="4">
        <v>302.25</v>
      </c>
      <c r="AJ9" s="4">
        <v>604.5</v>
      </c>
      <c r="AK9" s="4">
        <v>4.2622450000000001</v>
      </c>
      <c r="AL9" s="4">
        <v>1</v>
      </c>
      <c r="AM9" s="4">
        <v>35</v>
      </c>
      <c r="AN9" s="4">
        <v>10.5</v>
      </c>
      <c r="AO9" s="4">
        <v>1.1000000000000001</v>
      </c>
      <c r="AP9" s="4">
        <v>0</v>
      </c>
      <c r="AQ9" s="4">
        <v>0</v>
      </c>
      <c r="AR9" s="4">
        <v>0</v>
      </c>
      <c r="AS9" s="4">
        <v>0</v>
      </c>
      <c r="AT9" s="4">
        <v>0</v>
      </c>
      <c r="AU9" s="4">
        <v>0</v>
      </c>
      <c r="AV9" s="4">
        <v>0</v>
      </c>
    </row>
    <row r="10" spans="1:48" x14ac:dyDescent="0.2">
      <c r="A10" s="4" t="s">
        <v>246</v>
      </c>
      <c r="B10" s="4" t="s">
        <v>210</v>
      </c>
      <c r="C10" s="4">
        <v>0</v>
      </c>
      <c r="D10" s="4">
        <v>0.76</v>
      </c>
      <c r="E10" s="4">
        <v>0.76</v>
      </c>
      <c r="F10" s="4">
        <v>147.67060000000001</v>
      </c>
      <c r="G10" s="4">
        <v>15</v>
      </c>
      <c r="H10" s="4">
        <f t="shared" si="2"/>
        <v>9.8447066666666672</v>
      </c>
      <c r="I10" s="4">
        <f t="shared" si="3"/>
        <v>176.71458676442586</v>
      </c>
      <c r="J10" s="4">
        <v>4</v>
      </c>
      <c r="K10" s="4">
        <f t="shared" si="4"/>
        <v>6958.8130816679532</v>
      </c>
      <c r="L10" s="4">
        <v>1</v>
      </c>
      <c r="M10" s="4">
        <v>1</v>
      </c>
      <c r="N10" s="4">
        <v>1250</v>
      </c>
      <c r="O10" s="4">
        <f t="shared" si="5"/>
        <v>1868.421052631579</v>
      </c>
      <c r="P10" s="4">
        <f t="shared" si="1"/>
        <v>7.22</v>
      </c>
      <c r="Q10" s="4">
        <v>0.25</v>
      </c>
      <c r="R10" s="4">
        <v>35</v>
      </c>
      <c r="S10" s="4">
        <v>30</v>
      </c>
      <c r="T10" s="4">
        <v>1.1000000000000001</v>
      </c>
      <c r="U10" s="4">
        <f t="shared" si="6"/>
        <v>312.5</v>
      </c>
      <c r="V10" s="4">
        <f t="shared" si="7"/>
        <v>625</v>
      </c>
      <c r="W10" s="4">
        <f t="shared" si="8"/>
        <v>4.12244371171872</v>
      </c>
      <c r="X10" s="4">
        <v>4.4000000000000004</v>
      </c>
      <c r="Y10" s="4">
        <f>35</f>
        <v>35</v>
      </c>
      <c r="Z10" s="4">
        <f t="shared" si="9"/>
        <v>10.5</v>
      </c>
      <c r="AA10" s="4">
        <v>1.1000000000000001</v>
      </c>
      <c r="AB10" s="4">
        <v>0</v>
      </c>
      <c r="AC10" s="4">
        <v>0</v>
      </c>
      <c r="AD10" s="4">
        <v>0</v>
      </c>
      <c r="AE10" s="4">
        <v>0</v>
      </c>
      <c r="AF10" s="4">
        <v>0</v>
      </c>
      <c r="AG10" s="4">
        <v>0</v>
      </c>
      <c r="AH10" s="4">
        <v>0</v>
      </c>
      <c r="AI10" s="4">
        <v>302.25</v>
      </c>
      <c r="AJ10" s="4">
        <v>604.5</v>
      </c>
      <c r="AK10" s="4">
        <v>4.2622450000000001</v>
      </c>
      <c r="AL10" s="4">
        <v>1</v>
      </c>
      <c r="AM10" s="4">
        <v>35</v>
      </c>
      <c r="AN10" s="4">
        <v>10.5</v>
      </c>
      <c r="AO10" s="4">
        <v>1.1000000000000001</v>
      </c>
      <c r="AP10" s="4">
        <v>0</v>
      </c>
      <c r="AQ10" s="4">
        <v>0</v>
      </c>
      <c r="AR10" s="4">
        <v>0</v>
      </c>
      <c r="AS10" s="4">
        <v>0</v>
      </c>
      <c r="AT10" s="4">
        <v>0</v>
      </c>
      <c r="AU10" s="4">
        <v>0</v>
      </c>
      <c r="AV10" s="4">
        <v>0</v>
      </c>
    </row>
    <row r="11" spans="1:48" x14ac:dyDescent="0.2">
      <c r="A11" s="4" t="s">
        <v>247</v>
      </c>
      <c r="B11" s="4" t="s">
        <v>210</v>
      </c>
      <c r="C11" s="4">
        <v>0</v>
      </c>
      <c r="D11" s="4">
        <v>0.76</v>
      </c>
      <c r="E11" s="4">
        <v>0.76</v>
      </c>
      <c r="F11" s="4">
        <v>147.67060000000001</v>
      </c>
      <c r="G11" s="4">
        <v>15</v>
      </c>
      <c r="H11" s="4">
        <f t="shared" si="2"/>
        <v>9.8447066666666672</v>
      </c>
      <c r="I11" s="4">
        <f t="shared" si="3"/>
        <v>176.71458676442586</v>
      </c>
      <c r="J11" s="4">
        <v>5</v>
      </c>
      <c r="K11" s="4">
        <f t="shared" si="4"/>
        <v>6958.8130816679532</v>
      </c>
      <c r="L11" s="4">
        <v>1</v>
      </c>
      <c r="M11" s="4">
        <v>1</v>
      </c>
      <c r="N11" s="4">
        <v>1300</v>
      </c>
      <c r="O11" s="4">
        <f t="shared" si="5"/>
        <v>1943.1578947368421</v>
      </c>
      <c r="P11" s="4">
        <f t="shared" si="1"/>
        <v>6.9423076923076925</v>
      </c>
      <c r="Q11" s="4">
        <v>0.25</v>
      </c>
      <c r="R11" s="4">
        <v>35</v>
      </c>
      <c r="S11" s="4">
        <v>30</v>
      </c>
      <c r="T11" s="4">
        <v>1.1000000000000001</v>
      </c>
      <c r="U11" s="4">
        <f t="shared" si="6"/>
        <v>325</v>
      </c>
      <c r="V11" s="4">
        <f t="shared" si="7"/>
        <v>650</v>
      </c>
      <c r="W11" s="4">
        <f t="shared" si="8"/>
        <v>3.9638881843449227</v>
      </c>
      <c r="X11" s="4">
        <v>5.4</v>
      </c>
      <c r="Y11" s="4">
        <f>35</f>
        <v>35</v>
      </c>
      <c r="Z11" s="4">
        <f t="shared" si="9"/>
        <v>10.5</v>
      </c>
      <c r="AA11" s="4">
        <v>1.1000000000000001</v>
      </c>
      <c r="AB11" s="4">
        <v>0</v>
      </c>
      <c r="AC11" s="4">
        <v>0</v>
      </c>
      <c r="AD11" s="4">
        <v>0</v>
      </c>
      <c r="AE11" s="4">
        <v>0</v>
      </c>
      <c r="AF11" s="4">
        <v>0</v>
      </c>
      <c r="AG11" s="4">
        <v>0</v>
      </c>
      <c r="AH11" s="4">
        <v>0</v>
      </c>
      <c r="AI11" s="4">
        <v>302.25</v>
      </c>
      <c r="AJ11" s="4">
        <v>604.5</v>
      </c>
      <c r="AK11" s="4">
        <v>4.2622450000000001</v>
      </c>
      <c r="AL11" s="4">
        <v>1</v>
      </c>
      <c r="AM11" s="4">
        <v>35</v>
      </c>
      <c r="AN11" s="4">
        <v>10.5</v>
      </c>
      <c r="AO11" s="4">
        <v>1.1000000000000001</v>
      </c>
      <c r="AP11" s="4">
        <v>0</v>
      </c>
      <c r="AQ11" s="4">
        <v>0</v>
      </c>
      <c r="AR11" s="4">
        <v>0</v>
      </c>
      <c r="AS11" s="4">
        <v>0</v>
      </c>
      <c r="AT11" s="4">
        <v>0</v>
      </c>
      <c r="AU11" s="4">
        <v>0</v>
      </c>
      <c r="AV11" s="4">
        <v>0</v>
      </c>
    </row>
    <row r="16" spans="1:48" s="21" customFormat="1" x14ac:dyDescent="0.2"/>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B12:B15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workbookViewId="0">
      <selection activeCell="AO15" sqref="AO15"/>
    </sheetView>
  </sheetViews>
  <sheetFormatPr baseColWidth="10" defaultColWidth="8.83203125" defaultRowHeight="15" x14ac:dyDescent="0.2"/>
  <cols>
    <col min="1" max="1" width="8.83203125" style="10"/>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x14ac:dyDescent="0.2">
      <c r="A2" s="10" t="s">
        <v>238</v>
      </c>
      <c r="B2" s="10" t="s">
        <v>236</v>
      </c>
      <c r="C2" s="10">
        <v>0.11</v>
      </c>
      <c r="D2" s="10">
        <v>0.36</v>
      </c>
      <c r="E2" s="10">
        <v>-0.36480000000000001</v>
      </c>
      <c r="F2" s="10">
        <v>-0.22969999999999999</v>
      </c>
      <c r="G2" s="10">
        <v>-9.06E-2</v>
      </c>
      <c r="H2" s="10">
        <v>9.1499999999999998E-2</v>
      </c>
      <c r="I2" s="10">
        <v>0.25209999999999999</v>
      </c>
      <c r="J2" s="10">
        <v>0.3926</v>
      </c>
      <c r="K2" s="10">
        <v>0.4924</v>
      </c>
      <c r="L2" s="10">
        <v>0.59919999999999995</v>
      </c>
      <c r="M2" s="10">
        <v>0.70809999999999995</v>
      </c>
      <c r="N2" s="10">
        <v>0.81489999999999996</v>
      </c>
      <c r="O2" s="10">
        <v>0.92130000000000001</v>
      </c>
      <c r="P2" s="10">
        <v>1.0299</v>
      </c>
      <c r="Q2" s="10">
        <v>1.1337999999999999</v>
      </c>
      <c r="R2" s="10">
        <v>1.2350000000000001</v>
      </c>
      <c r="S2" s="10">
        <v>1.3317000000000001</v>
      </c>
      <c r="T2" s="10">
        <v>1.4271</v>
      </c>
      <c r="U2" s="10">
        <v>1.5059</v>
      </c>
      <c r="V2" s="10">
        <v>1.5843</v>
      </c>
      <c r="W2" s="10">
        <v>1.5843</v>
      </c>
      <c r="X2" s="10">
        <v>1.2370000000000001E-2</v>
      </c>
      <c r="Y2" s="10">
        <v>1.1509999999999999E-2</v>
      </c>
      <c r="Z2" s="10">
        <v>1.082E-2</v>
      </c>
      <c r="AA2" s="10">
        <v>9.1400000000000006E-3</v>
      </c>
      <c r="AB2" s="10">
        <v>6.3699999999999998E-3</v>
      </c>
      <c r="AC2" s="10">
        <v>8.1300000000000001E-3</v>
      </c>
      <c r="AD2" s="10">
        <v>1.027E-2</v>
      </c>
      <c r="AE2" s="10">
        <v>1.1220000000000001E-2</v>
      </c>
      <c r="AF2" s="10">
        <v>1.2160000000000001E-2</v>
      </c>
      <c r="AG2" s="10">
        <v>1.312E-2</v>
      </c>
      <c r="AH2" s="10">
        <v>1.4200000000000001E-2</v>
      </c>
      <c r="AI2" s="10">
        <v>1.5100000000000001E-2</v>
      </c>
      <c r="AJ2" s="10">
        <v>1.651E-2</v>
      </c>
      <c r="AK2" s="10">
        <v>1.806E-2</v>
      </c>
      <c r="AL2" s="10">
        <v>1.9970000000000002E-2</v>
      </c>
      <c r="AM2" s="10">
        <v>2.1649999999999999E-2</v>
      </c>
      <c r="AN2" s="10">
        <v>2.487E-2</v>
      </c>
      <c r="AO2" s="10">
        <v>2.726E-2</v>
      </c>
      <c r="AP2" s="10">
        <f>MIN(X2:AO2)</f>
        <v>6.3699999999999998E-3</v>
      </c>
      <c r="AQ2" s="10" t="s">
        <v>237</v>
      </c>
      <c r="AR2" s="10">
        <v>0.04</v>
      </c>
      <c r="AS2" s="10">
        <v>0.3</v>
      </c>
      <c r="AT2" s="10">
        <v>0</v>
      </c>
      <c r="AU2" s="10">
        <v>0</v>
      </c>
      <c r="AV2" s="10">
        <v>0</v>
      </c>
      <c r="AW2" s="10" t="s">
        <v>180</v>
      </c>
      <c r="AX2" s="10">
        <v>0.04</v>
      </c>
      <c r="AY2" s="10">
        <v>0.3</v>
      </c>
      <c r="AZ2" s="10">
        <v>0</v>
      </c>
      <c r="BA2" s="10">
        <v>0</v>
      </c>
      <c r="BB2" s="10">
        <v>0</v>
      </c>
    </row>
    <row r="3" spans="1:54" x14ac:dyDescent="0.2">
      <c r="A3" s="10" t="s">
        <v>239</v>
      </c>
      <c r="B3" s="10" t="s">
        <v>236</v>
      </c>
      <c r="C3" s="10">
        <v>0.11</v>
      </c>
      <c r="D3" s="10">
        <v>0.36</v>
      </c>
      <c r="E3" s="10">
        <v>-0.36480000000000001</v>
      </c>
      <c r="F3" s="10">
        <v>-0.22969999999999999</v>
      </c>
      <c r="G3" s="10">
        <v>-9.06E-2</v>
      </c>
      <c r="H3" s="10">
        <v>9.1499999999999998E-2</v>
      </c>
      <c r="I3" s="10">
        <v>0.25209999999999999</v>
      </c>
      <c r="J3" s="10">
        <v>0.3926</v>
      </c>
      <c r="K3" s="10">
        <v>0.4924</v>
      </c>
      <c r="L3" s="10">
        <v>0.59919999999999995</v>
      </c>
      <c r="M3" s="10">
        <v>0.70809999999999995</v>
      </c>
      <c r="N3" s="10">
        <v>0.81489999999999996</v>
      </c>
      <c r="O3" s="10">
        <v>0.92130000000000001</v>
      </c>
      <c r="P3" s="10">
        <v>1.0299</v>
      </c>
      <c r="Q3" s="10">
        <v>1.1337999999999999</v>
      </c>
      <c r="R3" s="10">
        <v>1.2350000000000001</v>
      </c>
      <c r="S3" s="10">
        <v>1.3317000000000001</v>
      </c>
      <c r="T3" s="10">
        <v>1.4271</v>
      </c>
      <c r="U3" s="10">
        <v>1.5059</v>
      </c>
      <c r="V3" s="10">
        <v>1.5843</v>
      </c>
      <c r="W3" s="10">
        <v>1.5843</v>
      </c>
      <c r="X3" s="10">
        <v>1.2370000000000001E-2</v>
      </c>
      <c r="Y3" s="10">
        <v>1.1509999999999999E-2</v>
      </c>
      <c r="Z3" s="10">
        <v>1.082E-2</v>
      </c>
      <c r="AA3" s="10">
        <v>9.1400000000000006E-3</v>
      </c>
      <c r="AB3" s="10">
        <v>6.3699999999999998E-3</v>
      </c>
      <c r="AC3" s="10">
        <v>8.1300000000000001E-3</v>
      </c>
      <c r="AD3" s="10">
        <v>1.027E-2</v>
      </c>
      <c r="AE3" s="10">
        <v>1.1220000000000001E-2</v>
      </c>
      <c r="AF3" s="10">
        <v>1.2160000000000001E-2</v>
      </c>
      <c r="AG3" s="10">
        <v>1.312E-2</v>
      </c>
      <c r="AH3" s="10">
        <v>1.4200000000000001E-2</v>
      </c>
      <c r="AI3" s="10">
        <v>1.5100000000000001E-2</v>
      </c>
      <c r="AJ3" s="10">
        <v>1.651E-2</v>
      </c>
      <c r="AK3" s="10">
        <v>1.806E-2</v>
      </c>
      <c r="AL3" s="10">
        <v>1.9970000000000002E-2</v>
      </c>
      <c r="AM3" s="10">
        <v>2.1649999999999999E-2</v>
      </c>
      <c r="AN3" s="10">
        <v>2.487E-2</v>
      </c>
      <c r="AO3" s="10">
        <v>2.726E-2</v>
      </c>
      <c r="AP3" s="10">
        <f>MIN(X3:AO3)</f>
        <v>6.3699999999999998E-3</v>
      </c>
      <c r="AQ3" s="10" t="s">
        <v>237</v>
      </c>
      <c r="AR3" s="10">
        <v>0.04</v>
      </c>
      <c r="AS3" s="10">
        <v>0.3</v>
      </c>
      <c r="AT3" s="10">
        <v>0</v>
      </c>
      <c r="AU3" s="10">
        <v>0</v>
      </c>
      <c r="AV3" s="10">
        <v>0</v>
      </c>
      <c r="AW3" s="10" t="s">
        <v>180</v>
      </c>
      <c r="AX3" s="10">
        <v>0.04</v>
      </c>
      <c r="AY3" s="10">
        <v>0.3</v>
      </c>
      <c r="AZ3" s="10">
        <v>0</v>
      </c>
      <c r="BA3" s="10">
        <v>0</v>
      </c>
      <c r="BB3" s="10">
        <v>0</v>
      </c>
    </row>
    <row r="4" spans="1:54" x14ac:dyDescent="0.2">
      <c r="A4" s="10" t="s">
        <v>240</v>
      </c>
      <c r="B4" s="29" t="s">
        <v>236</v>
      </c>
      <c r="C4" s="29">
        <v>0.11</v>
      </c>
      <c r="D4" s="29">
        <v>0.36</v>
      </c>
      <c r="E4" s="29">
        <v>-0.36480000000000001</v>
      </c>
      <c r="F4" s="29">
        <v>-0.22969999999999999</v>
      </c>
      <c r="G4" s="29">
        <v>-9.06E-2</v>
      </c>
      <c r="H4" s="29">
        <v>9.1499999999999998E-2</v>
      </c>
      <c r="I4" s="29">
        <v>0.25209999999999999</v>
      </c>
      <c r="J4" s="29">
        <v>0.3926</v>
      </c>
      <c r="K4" s="29">
        <v>0.4924</v>
      </c>
      <c r="L4" s="29">
        <v>0.59919999999999995</v>
      </c>
      <c r="M4" s="29">
        <v>0.70809999999999995</v>
      </c>
      <c r="N4" s="29">
        <v>0.81489999999999996</v>
      </c>
      <c r="O4" s="29">
        <v>0.92130000000000001</v>
      </c>
      <c r="P4" s="29">
        <v>1.0299</v>
      </c>
      <c r="Q4" s="29">
        <v>1.1337999999999999</v>
      </c>
      <c r="R4" s="29">
        <v>1.2350000000000001</v>
      </c>
      <c r="S4" s="29">
        <v>1.3317000000000001</v>
      </c>
      <c r="T4" s="29">
        <v>1.4271</v>
      </c>
      <c r="U4" s="29">
        <v>1.5059</v>
      </c>
      <c r="V4" s="29">
        <v>1.5843</v>
      </c>
      <c r="W4" s="29">
        <v>1.5843</v>
      </c>
      <c r="X4" s="29">
        <v>1.2370000000000001E-2</v>
      </c>
      <c r="Y4" s="29">
        <v>1.1509999999999999E-2</v>
      </c>
      <c r="Z4" s="29">
        <v>1.082E-2</v>
      </c>
      <c r="AA4" s="29">
        <v>9.1400000000000006E-3</v>
      </c>
      <c r="AB4" s="29">
        <v>6.3699999999999998E-3</v>
      </c>
      <c r="AC4" s="29">
        <v>8.1300000000000001E-3</v>
      </c>
      <c r="AD4" s="29">
        <v>1.027E-2</v>
      </c>
      <c r="AE4" s="29">
        <v>1.1220000000000001E-2</v>
      </c>
      <c r="AF4" s="29">
        <v>1.2160000000000001E-2</v>
      </c>
      <c r="AG4" s="29">
        <v>1.312E-2</v>
      </c>
      <c r="AH4" s="29">
        <v>1.4200000000000001E-2</v>
      </c>
      <c r="AI4" s="29">
        <v>1.5100000000000001E-2</v>
      </c>
      <c r="AJ4" s="29">
        <v>1.651E-2</v>
      </c>
      <c r="AK4" s="29">
        <v>1.806E-2</v>
      </c>
      <c r="AL4" s="29">
        <v>1.9970000000000002E-2</v>
      </c>
      <c r="AM4" s="29">
        <v>2.1649999999999999E-2</v>
      </c>
      <c r="AN4" s="29">
        <v>2.487E-2</v>
      </c>
      <c r="AO4" s="29">
        <v>2.726E-2</v>
      </c>
      <c r="AP4" s="29">
        <v>6.3699999999999998E-3</v>
      </c>
      <c r="AQ4" s="29" t="s">
        <v>237</v>
      </c>
      <c r="AR4" s="29">
        <v>0.04</v>
      </c>
      <c r="AS4" s="29">
        <v>0.3</v>
      </c>
      <c r="AT4" s="29">
        <v>0</v>
      </c>
      <c r="AU4" s="29">
        <v>0</v>
      </c>
      <c r="AV4" s="29">
        <v>0</v>
      </c>
      <c r="AW4" s="29" t="s">
        <v>180</v>
      </c>
      <c r="AX4" s="29">
        <v>0.04</v>
      </c>
      <c r="AY4" s="29">
        <v>0.3</v>
      </c>
      <c r="AZ4" s="29">
        <v>0</v>
      </c>
      <c r="BA4" s="29">
        <v>0</v>
      </c>
      <c r="BB4" s="29">
        <v>0</v>
      </c>
    </row>
    <row r="5" spans="1:54" x14ac:dyDescent="0.2">
      <c r="A5" s="10" t="s">
        <v>241</v>
      </c>
      <c r="B5" s="29" t="s">
        <v>236</v>
      </c>
      <c r="C5" s="29">
        <v>0.11</v>
      </c>
      <c r="D5" s="29">
        <v>0.36</v>
      </c>
      <c r="E5" s="29">
        <v>-0.36480000000000001</v>
      </c>
      <c r="F5" s="29">
        <v>-0.22969999999999999</v>
      </c>
      <c r="G5" s="29">
        <v>-9.06E-2</v>
      </c>
      <c r="H5" s="29">
        <v>9.1499999999999998E-2</v>
      </c>
      <c r="I5" s="29">
        <v>0.25209999999999999</v>
      </c>
      <c r="J5" s="29">
        <v>0.3926</v>
      </c>
      <c r="K5" s="29">
        <v>0.4924</v>
      </c>
      <c r="L5" s="29">
        <v>0.59919999999999995</v>
      </c>
      <c r="M5" s="29">
        <v>0.70809999999999995</v>
      </c>
      <c r="N5" s="29">
        <v>0.81489999999999996</v>
      </c>
      <c r="O5" s="29">
        <v>0.92130000000000001</v>
      </c>
      <c r="P5" s="29">
        <v>1.0299</v>
      </c>
      <c r="Q5" s="29">
        <v>1.1337999999999999</v>
      </c>
      <c r="R5" s="29">
        <v>1.2350000000000001</v>
      </c>
      <c r="S5" s="29">
        <v>1.3317000000000001</v>
      </c>
      <c r="T5" s="29">
        <v>1.4271</v>
      </c>
      <c r="U5" s="29">
        <v>1.5059</v>
      </c>
      <c r="V5" s="29">
        <v>1.5843</v>
      </c>
      <c r="W5" s="29">
        <v>1.5843</v>
      </c>
      <c r="X5" s="29">
        <v>1.2370000000000001E-2</v>
      </c>
      <c r="Y5" s="29">
        <v>1.1509999999999999E-2</v>
      </c>
      <c r="Z5" s="29">
        <v>1.082E-2</v>
      </c>
      <c r="AA5" s="29">
        <v>9.1400000000000006E-3</v>
      </c>
      <c r="AB5" s="29">
        <v>6.3699999999999998E-3</v>
      </c>
      <c r="AC5" s="29">
        <v>8.1300000000000001E-3</v>
      </c>
      <c r="AD5" s="29">
        <v>1.027E-2</v>
      </c>
      <c r="AE5" s="29">
        <v>1.1220000000000001E-2</v>
      </c>
      <c r="AF5" s="29">
        <v>1.2160000000000001E-2</v>
      </c>
      <c r="AG5" s="29">
        <v>1.312E-2</v>
      </c>
      <c r="AH5" s="29">
        <v>1.4200000000000001E-2</v>
      </c>
      <c r="AI5" s="29">
        <v>1.5100000000000001E-2</v>
      </c>
      <c r="AJ5" s="29">
        <v>1.651E-2</v>
      </c>
      <c r="AK5" s="29">
        <v>1.806E-2</v>
      </c>
      <c r="AL5" s="29">
        <v>1.9970000000000002E-2</v>
      </c>
      <c r="AM5" s="29">
        <v>2.1649999999999999E-2</v>
      </c>
      <c r="AN5" s="29">
        <v>2.487E-2</v>
      </c>
      <c r="AO5" s="29">
        <v>2.726E-2</v>
      </c>
      <c r="AP5" s="29">
        <v>6.3699999999999998E-3</v>
      </c>
      <c r="AQ5" s="29" t="s">
        <v>237</v>
      </c>
      <c r="AR5" s="29">
        <v>0.04</v>
      </c>
      <c r="AS5" s="29">
        <v>0.3</v>
      </c>
      <c r="AT5" s="29">
        <v>0</v>
      </c>
      <c r="AU5" s="29">
        <v>0</v>
      </c>
      <c r="AV5" s="29">
        <v>0</v>
      </c>
      <c r="AW5" s="29" t="s">
        <v>180</v>
      </c>
      <c r="AX5" s="29">
        <v>0.04</v>
      </c>
      <c r="AY5" s="29">
        <v>0.3</v>
      </c>
      <c r="AZ5" s="29">
        <v>0</v>
      </c>
      <c r="BA5" s="29">
        <v>0</v>
      </c>
      <c r="BB5" s="29">
        <v>0</v>
      </c>
    </row>
    <row r="6" spans="1:54" x14ac:dyDescent="0.2">
      <c r="A6" s="10" t="s">
        <v>242</v>
      </c>
      <c r="B6" s="29" t="s">
        <v>236</v>
      </c>
      <c r="C6" s="29">
        <v>0.11</v>
      </c>
      <c r="D6" s="29">
        <v>0.36</v>
      </c>
      <c r="E6" s="29">
        <v>-0.36480000000000001</v>
      </c>
      <c r="F6" s="29">
        <v>-0.22969999999999999</v>
      </c>
      <c r="G6" s="29">
        <v>-9.06E-2</v>
      </c>
      <c r="H6" s="29">
        <v>9.1499999999999998E-2</v>
      </c>
      <c r="I6" s="29">
        <v>0.25209999999999999</v>
      </c>
      <c r="J6" s="29">
        <v>0.3926</v>
      </c>
      <c r="K6" s="29">
        <v>0.4924</v>
      </c>
      <c r="L6" s="29">
        <v>0.59919999999999995</v>
      </c>
      <c r="M6" s="29">
        <v>0.70809999999999995</v>
      </c>
      <c r="N6" s="29">
        <v>0.81489999999999996</v>
      </c>
      <c r="O6" s="29">
        <v>0.92130000000000001</v>
      </c>
      <c r="P6" s="29">
        <v>1.0299</v>
      </c>
      <c r="Q6" s="29">
        <v>1.1337999999999999</v>
      </c>
      <c r="R6" s="29">
        <v>1.2350000000000001</v>
      </c>
      <c r="S6" s="29">
        <v>1.3317000000000001</v>
      </c>
      <c r="T6" s="29">
        <v>1.4271</v>
      </c>
      <c r="U6" s="29">
        <v>1.5059</v>
      </c>
      <c r="V6" s="29">
        <v>1.5843</v>
      </c>
      <c r="W6" s="29">
        <v>1.5843</v>
      </c>
      <c r="X6" s="29">
        <v>1.2370000000000001E-2</v>
      </c>
      <c r="Y6" s="29">
        <v>1.1509999999999999E-2</v>
      </c>
      <c r="Z6" s="29">
        <v>1.082E-2</v>
      </c>
      <c r="AA6" s="29">
        <v>9.1400000000000006E-3</v>
      </c>
      <c r="AB6" s="29">
        <v>6.3699999999999998E-3</v>
      </c>
      <c r="AC6" s="29">
        <v>8.1300000000000001E-3</v>
      </c>
      <c r="AD6" s="29">
        <v>1.027E-2</v>
      </c>
      <c r="AE6" s="29">
        <v>1.1220000000000001E-2</v>
      </c>
      <c r="AF6" s="29">
        <v>1.2160000000000001E-2</v>
      </c>
      <c r="AG6" s="29">
        <v>1.312E-2</v>
      </c>
      <c r="AH6" s="29">
        <v>1.4200000000000001E-2</v>
      </c>
      <c r="AI6" s="29">
        <v>1.5100000000000001E-2</v>
      </c>
      <c r="AJ6" s="29">
        <v>1.651E-2</v>
      </c>
      <c r="AK6" s="29">
        <v>1.806E-2</v>
      </c>
      <c r="AL6" s="29">
        <v>1.9970000000000002E-2</v>
      </c>
      <c r="AM6" s="29">
        <v>2.1649999999999999E-2</v>
      </c>
      <c r="AN6" s="29">
        <v>2.487E-2</v>
      </c>
      <c r="AO6" s="29">
        <v>2.726E-2</v>
      </c>
      <c r="AP6" s="29">
        <v>6.3699999999999998E-3</v>
      </c>
      <c r="AQ6" s="29" t="s">
        <v>237</v>
      </c>
      <c r="AR6" s="29">
        <v>0.04</v>
      </c>
      <c r="AS6" s="29">
        <v>0.3</v>
      </c>
      <c r="AT6" s="29">
        <v>0</v>
      </c>
      <c r="AU6" s="29">
        <v>0</v>
      </c>
      <c r="AV6" s="29">
        <v>0</v>
      </c>
      <c r="AW6" s="29" t="s">
        <v>180</v>
      </c>
      <c r="AX6" s="29">
        <v>0.04</v>
      </c>
      <c r="AY6" s="29">
        <v>0.3</v>
      </c>
      <c r="AZ6" s="29">
        <v>0</v>
      </c>
      <c r="BA6" s="29">
        <v>0</v>
      </c>
      <c r="BB6" s="29">
        <v>0</v>
      </c>
    </row>
    <row r="7" spans="1:54" x14ac:dyDescent="0.2">
      <c r="A7" s="10" t="s">
        <v>243</v>
      </c>
      <c r="B7" s="10" t="s">
        <v>236</v>
      </c>
      <c r="C7" s="10">
        <v>0.11</v>
      </c>
      <c r="D7" s="10">
        <v>0.36</v>
      </c>
      <c r="E7" s="10">
        <v>-0.36480000000000001</v>
      </c>
      <c r="F7" s="10">
        <v>-0.22969999999999999</v>
      </c>
      <c r="G7" s="10">
        <v>-9.06E-2</v>
      </c>
      <c r="H7" s="10">
        <v>9.1499999999999998E-2</v>
      </c>
      <c r="I7" s="10">
        <v>0.25209999999999999</v>
      </c>
      <c r="J7" s="10">
        <v>0.3926</v>
      </c>
      <c r="K7" s="10">
        <v>0.4924</v>
      </c>
      <c r="L7" s="10">
        <v>0.59919999999999995</v>
      </c>
      <c r="M7" s="10">
        <v>0.70809999999999995</v>
      </c>
      <c r="N7" s="10">
        <v>0.81489999999999996</v>
      </c>
      <c r="O7" s="10">
        <v>0.92130000000000001</v>
      </c>
      <c r="P7" s="10">
        <v>1.0299</v>
      </c>
      <c r="Q7" s="10">
        <v>1.1337999999999999</v>
      </c>
      <c r="R7" s="10">
        <v>1.2350000000000001</v>
      </c>
      <c r="S7" s="10">
        <v>1.3317000000000001</v>
      </c>
      <c r="T7" s="10">
        <v>1.4271</v>
      </c>
      <c r="U7" s="10">
        <v>1.5059</v>
      </c>
      <c r="V7" s="10">
        <v>1.5843</v>
      </c>
      <c r="W7" s="10">
        <v>1.5843</v>
      </c>
      <c r="X7" s="10">
        <v>1.2370000000000001E-2</v>
      </c>
      <c r="Y7" s="10">
        <v>1.1509999999999999E-2</v>
      </c>
      <c r="Z7" s="10">
        <v>1.082E-2</v>
      </c>
      <c r="AA7" s="10">
        <v>9.1400000000000006E-3</v>
      </c>
      <c r="AB7" s="10">
        <v>6.3699999999999998E-3</v>
      </c>
      <c r="AC7" s="10">
        <v>8.1300000000000001E-3</v>
      </c>
      <c r="AD7" s="10">
        <v>1.027E-2</v>
      </c>
      <c r="AE7" s="10">
        <v>1.1220000000000001E-2</v>
      </c>
      <c r="AF7" s="10">
        <v>1.2160000000000001E-2</v>
      </c>
      <c r="AG7" s="10">
        <v>1.312E-2</v>
      </c>
      <c r="AH7" s="10">
        <v>1.4200000000000001E-2</v>
      </c>
      <c r="AI7" s="10">
        <v>1.5100000000000001E-2</v>
      </c>
      <c r="AJ7" s="10">
        <v>1.651E-2</v>
      </c>
      <c r="AK7" s="10">
        <v>1.806E-2</v>
      </c>
      <c r="AL7" s="10">
        <v>1.9970000000000002E-2</v>
      </c>
      <c r="AM7" s="10">
        <v>2.1649999999999999E-2</v>
      </c>
      <c r="AN7" s="10">
        <v>2.487E-2</v>
      </c>
      <c r="AO7" s="10">
        <v>2.726E-2</v>
      </c>
      <c r="AP7" s="10">
        <f>MIN(X7:AO7)</f>
        <v>6.3699999999999998E-3</v>
      </c>
      <c r="AQ7" s="10" t="s">
        <v>237</v>
      </c>
      <c r="AR7" s="10">
        <v>0.04</v>
      </c>
      <c r="AS7" s="10">
        <v>0.3</v>
      </c>
      <c r="AT7" s="10">
        <v>0</v>
      </c>
      <c r="AU7" s="10">
        <v>0</v>
      </c>
      <c r="AV7" s="10">
        <v>0</v>
      </c>
      <c r="AW7" s="10" t="s">
        <v>180</v>
      </c>
      <c r="AX7" s="10">
        <v>0.04</v>
      </c>
      <c r="AY7" s="10">
        <v>0.3</v>
      </c>
      <c r="AZ7" s="10">
        <v>0</v>
      </c>
      <c r="BA7" s="10">
        <v>0</v>
      </c>
      <c r="BB7" s="10">
        <v>0</v>
      </c>
    </row>
    <row r="8" spans="1:54" x14ac:dyDescent="0.2">
      <c r="A8" s="10" t="s">
        <v>244</v>
      </c>
      <c r="B8" s="10" t="s">
        <v>236</v>
      </c>
      <c r="C8" s="10">
        <v>0.11</v>
      </c>
      <c r="D8" s="10">
        <v>0.36</v>
      </c>
      <c r="E8" s="10">
        <v>-0.36480000000000001</v>
      </c>
      <c r="F8" s="10">
        <v>-0.22969999999999999</v>
      </c>
      <c r="G8" s="10">
        <v>-9.06E-2</v>
      </c>
      <c r="H8" s="10">
        <v>9.1499999999999998E-2</v>
      </c>
      <c r="I8" s="10">
        <v>0.25209999999999999</v>
      </c>
      <c r="J8" s="10">
        <v>0.3926</v>
      </c>
      <c r="K8" s="10">
        <v>0.4924</v>
      </c>
      <c r="L8" s="10">
        <v>0.59919999999999995</v>
      </c>
      <c r="M8" s="10">
        <v>0.70809999999999995</v>
      </c>
      <c r="N8" s="10">
        <v>0.81489999999999996</v>
      </c>
      <c r="O8" s="10">
        <v>0.92130000000000001</v>
      </c>
      <c r="P8" s="10">
        <v>1.0299</v>
      </c>
      <c r="Q8" s="10">
        <v>1.1337999999999999</v>
      </c>
      <c r="R8" s="10">
        <v>1.2350000000000001</v>
      </c>
      <c r="S8" s="10">
        <v>1.3317000000000001</v>
      </c>
      <c r="T8" s="10">
        <v>1.4271</v>
      </c>
      <c r="U8" s="10">
        <v>1.5059</v>
      </c>
      <c r="V8" s="10">
        <v>1.5843</v>
      </c>
      <c r="W8" s="10">
        <v>1.5843</v>
      </c>
      <c r="X8" s="10">
        <v>1.2370000000000001E-2</v>
      </c>
      <c r="Y8" s="10">
        <v>1.1509999999999999E-2</v>
      </c>
      <c r="Z8" s="10">
        <v>1.082E-2</v>
      </c>
      <c r="AA8" s="10">
        <v>9.1400000000000006E-3</v>
      </c>
      <c r="AB8" s="10">
        <v>6.3699999999999998E-3</v>
      </c>
      <c r="AC8" s="10">
        <v>8.1300000000000001E-3</v>
      </c>
      <c r="AD8" s="10">
        <v>1.027E-2</v>
      </c>
      <c r="AE8" s="10">
        <v>1.1220000000000001E-2</v>
      </c>
      <c r="AF8" s="10">
        <v>1.2160000000000001E-2</v>
      </c>
      <c r="AG8" s="10">
        <v>1.312E-2</v>
      </c>
      <c r="AH8" s="10">
        <v>1.4200000000000001E-2</v>
      </c>
      <c r="AI8" s="10">
        <v>1.5100000000000001E-2</v>
      </c>
      <c r="AJ8" s="10">
        <v>1.651E-2</v>
      </c>
      <c r="AK8" s="10">
        <v>1.806E-2</v>
      </c>
      <c r="AL8" s="10">
        <v>1.9970000000000002E-2</v>
      </c>
      <c r="AM8" s="10">
        <v>2.1649999999999999E-2</v>
      </c>
      <c r="AN8" s="10">
        <v>2.487E-2</v>
      </c>
      <c r="AO8" s="10">
        <v>2.726E-2</v>
      </c>
      <c r="AP8" s="10">
        <f>MIN(X8:AO8)</f>
        <v>6.3699999999999998E-3</v>
      </c>
      <c r="AQ8" s="10" t="s">
        <v>237</v>
      </c>
      <c r="AR8" s="10">
        <v>0.04</v>
      </c>
      <c r="AS8" s="10">
        <v>0.3</v>
      </c>
      <c r="AT8" s="10">
        <v>0</v>
      </c>
      <c r="AU8" s="10">
        <v>0</v>
      </c>
      <c r="AV8" s="10">
        <v>0</v>
      </c>
      <c r="AW8" s="10" t="s">
        <v>180</v>
      </c>
      <c r="AX8" s="10">
        <v>0.04</v>
      </c>
      <c r="AY8" s="10">
        <v>0.3</v>
      </c>
      <c r="AZ8" s="10">
        <v>0</v>
      </c>
      <c r="BA8" s="10">
        <v>0</v>
      </c>
      <c r="BB8" s="10">
        <v>0</v>
      </c>
    </row>
    <row r="9" spans="1:54" x14ac:dyDescent="0.2">
      <c r="A9" s="10" t="s">
        <v>245</v>
      </c>
      <c r="B9" s="29" t="s">
        <v>236</v>
      </c>
      <c r="C9" s="29">
        <v>0.11</v>
      </c>
      <c r="D9" s="29">
        <v>0.36</v>
      </c>
      <c r="E9" s="29">
        <v>-0.36480000000000001</v>
      </c>
      <c r="F9" s="29">
        <v>-0.22969999999999999</v>
      </c>
      <c r="G9" s="29">
        <v>-9.06E-2</v>
      </c>
      <c r="H9" s="29">
        <v>9.1499999999999998E-2</v>
      </c>
      <c r="I9" s="29">
        <v>0.25209999999999999</v>
      </c>
      <c r="J9" s="29">
        <v>0.3926</v>
      </c>
      <c r="K9" s="29">
        <v>0.4924</v>
      </c>
      <c r="L9" s="29">
        <v>0.59919999999999995</v>
      </c>
      <c r="M9" s="29">
        <v>0.70809999999999995</v>
      </c>
      <c r="N9" s="29">
        <v>0.81489999999999996</v>
      </c>
      <c r="O9" s="29">
        <v>0.92130000000000001</v>
      </c>
      <c r="P9" s="29">
        <v>1.0299</v>
      </c>
      <c r="Q9" s="29">
        <v>1.1337999999999999</v>
      </c>
      <c r="R9" s="29">
        <v>1.2350000000000001</v>
      </c>
      <c r="S9" s="29">
        <v>1.3317000000000001</v>
      </c>
      <c r="T9" s="29">
        <v>1.4271</v>
      </c>
      <c r="U9" s="29">
        <v>1.5059</v>
      </c>
      <c r="V9" s="29">
        <v>1.5843</v>
      </c>
      <c r="W9" s="29">
        <v>1.5843</v>
      </c>
      <c r="X9" s="29">
        <v>1.2370000000000001E-2</v>
      </c>
      <c r="Y9" s="29">
        <v>1.1509999999999999E-2</v>
      </c>
      <c r="Z9" s="29">
        <v>1.082E-2</v>
      </c>
      <c r="AA9" s="29">
        <v>9.1400000000000006E-3</v>
      </c>
      <c r="AB9" s="29">
        <v>6.3699999999999998E-3</v>
      </c>
      <c r="AC9" s="29">
        <v>8.1300000000000001E-3</v>
      </c>
      <c r="AD9" s="29">
        <v>1.027E-2</v>
      </c>
      <c r="AE9" s="29">
        <v>1.1220000000000001E-2</v>
      </c>
      <c r="AF9" s="29">
        <v>1.2160000000000001E-2</v>
      </c>
      <c r="AG9" s="29">
        <v>1.312E-2</v>
      </c>
      <c r="AH9" s="29">
        <v>1.4200000000000001E-2</v>
      </c>
      <c r="AI9" s="29">
        <v>1.5100000000000001E-2</v>
      </c>
      <c r="AJ9" s="29">
        <v>1.651E-2</v>
      </c>
      <c r="AK9" s="29">
        <v>1.806E-2</v>
      </c>
      <c r="AL9" s="29">
        <v>1.9970000000000002E-2</v>
      </c>
      <c r="AM9" s="29">
        <v>2.1649999999999999E-2</v>
      </c>
      <c r="AN9" s="29">
        <v>2.487E-2</v>
      </c>
      <c r="AO9" s="29">
        <v>2.726E-2</v>
      </c>
      <c r="AP9" s="29">
        <v>6.3699999999999998E-3</v>
      </c>
      <c r="AQ9" s="29" t="s">
        <v>237</v>
      </c>
      <c r="AR9" s="29">
        <v>0.04</v>
      </c>
      <c r="AS9" s="29">
        <v>0.3</v>
      </c>
      <c r="AT9" s="29">
        <v>0</v>
      </c>
      <c r="AU9" s="29">
        <v>0</v>
      </c>
      <c r="AV9" s="29">
        <v>0</v>
      </c>
      <c r="AW9" s="29" t="s">
        <v>180</v>
      </c>
      <c r="AX9" s="29">
        <v>0.04</v>
      </c>
      <c r="AY9" s="29">
        <v>0.3</v>
      </c>
      <c r="AZ9" s="29">
        <v>0</v>
      </c>
      <c r="BA9" s="29">
        <v>0</v>
      </c>
      <c r="BB9" s="29">
        <v>0</v>
      </c>
    </row>
    <row r="10" spans="1:54" x14ac:dyDescent="0.2">
      <c r="A10" s="10" t="s">
        <v>246</v>
      </c>
      <c r="B10" s="29" t="s">
        <v>236</v>
      </c>
      <c r="C10" s="29">
        <v>0.11</v>
      </c>
      <c r="D10" s="29">
        <v>0.36</v>
      </c>
      <c r="E10" s="29">
        <v>-0.36480000000000001</v>
      </c>
      <c r="F10" s="29">
        <v>-0.22969999999999999</v>
      </c>
      <c r="G10" s="29">
        <v>-9.06E-2</v>
      </c>
      <c r="H10" s="29">
        <v>9.1499999999999998E-2</v>
      </c>
      <c r="I10" s="29">
        <v>0.25209999999999999</v>
      </c>
      <c r="J10" s="29">
        <v>0.3926</v>
      </c>
      <c r="K10" s="29">
        <v>0.4924</v>
      </c>
      <c r="L10" s="29">
        <v>0.59919999999999995</v>
      </c>
      <c r="M10" s="29">
        <v>0.70809999999999995</v>
      </c>
      <c r="N10" s="29">
        <v>0.81489999999999996</v>
      </c>
      <c r="O10" s="29">
        <v>0.92130000000000001</v>
      </c>
      <c r="P10" s="29">
        <v>1.0299</v>
      </c>
      <c r="Q10" s="29">
        <v>1.1337999999999999</v>
      </c>
      <c r="R10" s="29">
        <v>1.2350000000000001</v>
      </c>
      <c r="S10" s="29">
        <v>1.3317000000000001</v>
      </c>
      <c r="T10" s="29">
        <v>1.4271</v>
      </c>
      <c r="U10" s="29">
        <v>1.5059</v>
      </c>
      <c r="V10" s="29">
        <v>1.5843</v>
      </c>
      <c r="W10" s="29">
        <v>1.5843</v>
      </c>
      <c r="X10" s="29">
        <v>1.2370000000000001E-2</v>
      </c>
      <c r="Y10" s="29">
        <v>1.1509999999999999E-2</v>
      </c>
      <c r="Z10" s="29">
        <v>1.082E-2</v>
      </c>
      <c r="AA10" s="29">
        <v>9.1400000000000006E-3</v>
      </c>
      <c r="AB10" s="29">
        <v>6.3699999999999998E-3</v>
      </c>
      <c r="AC10" s="29">
        <v>8.1300000000000001E-3</v>
      </c>
      <c r="AD10" s="29">
        <v>1.027E-2</v>
      </c>
      <c r="AE10" s="29">
        <v>1.1220000000000001E-2</v>
      </c>
      <c r="AF10" s="29">
        <v>1.2160000000000001E-2</v>
      </c>
      <c r="AG10" s="29">
        <v>1.312E-2</v>
      </c>
      <c r="AH10" s="29">
        <v>1.4200000000000001E-2</v>
      </c>
      <c r="AI10" s="29">
        <v>1.5100000000000001E-2</v>
      </c>
      <c r="AJ10" s="29">
        <v>1.651E-2</v>
      </c>
      <c r="AK10" s="29">
        <v>1.806E-2</v>
      </c>
      <c r="AL10" s="29">
        <v>1.9970000000000002E-2</v>
      </c>
      <c r="AM10" s="29">
        <v>2.1649999999999999E-2</v>
      </c>
      <c r="AN10" s="29">
        <v>2.487E-2</v>
      </c>
      <c r="AO10" s="29">
        <v>2.726E-2</v>
      </c>
      <c r="AP10" s="29">
        <v>6.3699999999999998E-3</v>
      </c>
      <c r="AQ10" s="29" t="s">
        <v>237</v>
      </c>
      <c r="AR10" s="29">
        <v>0.04</v>
      </c>
      <c r="AS10" s="29">
        <v>0.3</v>
      </c>
      <c r="AT10" s="29">
        <v>0</v>
      </c>
      <c r="AU10" s="29">
        <v>0</v>
      </c>
      <c r="AV10" s="29">
        <v>0</v>
      </c>
      <c r="AW10" s="29" t="s">
        <v>180</v>
      </c>
      <c r="AX10" s="29">
        <v>0.04</v>
      </c>
      <c r="AY10" s="29">
        <v>0.3</v>
      </c>
      <c r="AZ10" s="29">
        <v>0</v>
      </c>
      <c r="BA10" s="29">
        <v>0</v>
      </c>
      <c r="BB10" s="29">
        <v>0</v>
      </c>
    </row>
    <row r="11" spans="1:54" x14ac:dyDescent="0.2">
      <c r="A11" s="10" t="s">
        <v>247</v>
      </c>
      <c r="B11" s="29" t="s">
        <v>236</v>
      </c>
      <c r="C11" s="29">
        <v>0.11</v>
      </c>
      <c r="D11" s="29">
        <v>0.36</v>
      </c>
      <c r="E11" s="29">
        <v>-0.36480000000000001</v>
      </c>
      <c r="F11" s="29">
        <v>-0.22969999999999999</v>
      </c>
      <c r="G11" s="29">
        <v>-9.06E-2</v>
      </c>
      <c r="H11" s="29">
        <v>9.1499999999999998E-2</v>
      </c>
      <c r="I11" s="29">
        <v>0.25209999999999999</v>
      </c>
      <c r="J11" s="29">
        <v>0.3926</v>
      </c>
      <c r="K11" s="29">
        <v>0.4924</v>
      </c>
      <c r="L11" s="29">
        <v>0.59919999999999995</v>
      </c>
      <c r="M11" s="29">
        <v>0.70809999999999995</v>
      </c>
      <c r="N11" s="29">
        <v>0.81489999999999996</v>
      </c>
      <c r="O11" s="29">
        <v>0.92130000000000001</v>
      </c>
      <c r="P11" s="29">
        <v>1.0299</v>
      </c>
      <c r="Q11" s="29">
        <v>1.1337999999999999</v>
      </c>
      <c r="R11" s="29">
        <v>1.2350000000000001</v>
      </c>
      <c r="S11" s="29">
        <v>1.3317000000000001</v>
      </c>
      <c r="T11" s="29">
        <v>1.4271</v>
      </c>
      <c r="U11" s="29">
        <v>1.5059</v>
      </c>
      <c r="V11" s="29">
        <v>1.5843</v>
      </c>
      <c r="W11" s="29">
        <v>1.5843</v>
      </c>
      <c r="X11" s="29">
        <v>1.2370000000000001E-2</v>
      </c>
      <c r="Y11" s="29">
        <v>1.1509999999999999E-2</v>
      </c>
      <c r="Z11" s="29">
        <v>1.082E-2</v>
      </c>
      <c r="AA11" s="29">
        <v>9.1400000000000006E-3</v>
      </c>
      <c r="AB11" s="29">
        <v>6.3699999999999998E-3</v>
      </c>
      <c r="AC11" s="29">
        <v>8.1300000000000001E-3</v>
      </c>
      <c r="AD11" s="29">
        <v>1.027E-2</v>
      </c>
      <c r="AE11" s="29">
        <v>1.1220000000000001E-2</v>
      </c>
      <c r="AF11" s="29">
        <v>1.2160000000000001E-2</v>
      </c>
      <c r="AG11" s="29">
        <v>1.312E-2</v>
      </c>
      <c r="AH11" s="29">
        <v>1.4200000000000001E-2</v>
      </c>
      <c r="AI11" s="29">
        <v>1.5100000000000001E-2</v>
      </c>
      <c r="AJ11" s="29">
        <v>1.651E-2</v>
      </c>
      <c r="AK11" s="29">
        <v>1.806E-2</v>
      </c>
      <c r="AL11" s="29">
        <v>1.9970000000000002E-2</v>
      </c>
      <c r="AM11" s="29">
        <v>2.1649999999999999E-2</v>
      </c>
      <c r="AN11" s="29">
        <v>2.487E-2</v>
      </c>
      <c r="AO11" s="29">
        <v>2.726E-2</v>
      </c>
      <c r="AP11" s="29">
        <v>6.3699999999999998E-3</v>
      </c>
      <c r="AQ11" s="29" t="s">
        <v>237</v>
      </c>
      <c r="AR11" s="29">
        <v>0.04</v>
      </c>
      <c r="AS11" s="29">
        <v>0.3</v>
      </c>
      <c r="AT11" s="29">
        <v>0</v>
      </c>
      <c r="AU11" s="29">
        <v>0</v>
      </c>
      <c r="AV11" s="29">
        <v>0</v>
      </c>
      <c r="AW11" s="29" t="s">
        <v>180</v>
      </c>
      <c r="AX11" s="29">
        <v>0.04</v>
      </c>
      <c r="AY11" s="29">
        <v>0.3</v>
      </c>
      <c r="AZ11" s="29">
        <v>0</v>
      </c>
      <c r="BA11" s="29">
        <v>0</v>
      </c>
      <c r="BB11" s="29">
        <v>0</v>
      </c>
    </row>
    <row r="16" spans="1:54" s="22"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zoomScale="125" workbookViewId="0">
      <selection activeCell="L15" sqref="L15"/>
    </sheetView>
  </sheetViews>
  <sheetFormatPr baseColWidth="10" defaultColWidth="8.83203125" defaultRowHeight="15" x14ac:dyDescent="0.2"/>
  <cols>
    <col min="2" max="2" width="21.5" customWidth="1"/>
    <col min="4" max="4" width="10" customWidth="1"/>
    <col min="5" max="5" width="11.5" bestFit="1" customWidth="1"/>
    <col min="7" max="7" width="11.5" bestFit="1" customWidth="1"/>
    <col min="8" max="8" width="10.83203125" bestFit="1" customWidth="1"/>
    <col min="9" max="9" width="10" bestFit="1" customWidth="1"/>
  </cols>
  <sheetData>
    <row r="1" spans="1:18" x14ac:dyDescent="0.2">
      <c r="A1" s="19" t="s">
        <v>44</v>
      </c>
      <c r="B1" s="19" t="s">
        <v>181</v>
      </c>
      <c r="C1" s="19" t="s">
        <v>164</v>
      </c>
      <c r="D1" s="17" t="s">
        <v>188</v>
      </c>
      <c r="E1" s="17" t="s">
        <v>189</v>
      </c>
      <c r="F1" s="17" t="s">
        <v>182</v>
      </c>
      <c r="G1" s="17" t="s">
        <v>183</v>
      </c>
      <c r="H1" s="17" t="s">
        <v>168</v>
      </c>
      <c r="I1" s="18" t="s">
        <v>165</v>
      </c>
      <c r="J1" s="18" t="s">
        <v>166</v>
      </c>
      <c r="K1" s="18" t="s">
        <v>167</v>
      </c>
      <c r="L1" s="18" t="s">
        <v>235</v>
      </c>
      <c r="M1" s="28" t="s">
        <v>213</v>
      </c>
      <c r="N1" s="28" t="s">
        <v>214</v>
      </c>
      <c r="O1" s="28" t="s">
        <v>215</v>
      </c>
      <c r="P1" s="28" t="s">
        <v>216</v>
      </c>
      <c r="Q1" s="28" t="s">
        <v>217</v>
      </c>
      <c r="R1" s="28" t="s">
        <v>218</v>
      </c>
    </row>
    <row r="2" spans="1:18" x14ac:dyDescent="0.2">
      <c r="A2" t="s">
        <v>238</v>
      </c>
      <c r="B2" t="s">
        <v>185</v>
      </c>
      <c r="C2">
        <v>2</v>
      </c>
      <c r="D2">
        <v>19500</v>
      </c>
      <c r="E2">
        <v>0.73</v>
      </c>
      <c r="F2">
        <v>0</v>
      </c>
      <c r="G2">
        <v>0</v>
      </c>
      <c r="H2">
        <v>0.2</v>
      </c>
      <c r="I2">
        <v>0</v>
      </c>
      <c r="J2">
        <v>0</v>
      </c>
      <c r="K2">
        <v>0</v>
      </c>
      <c r="L2">
        <v>0</v>
      </c>
      <c r="M2">
        <v>0</v>
      </c>
      <c r="N2">
        <v>0</v>
      </c>
      <c r="O2">
        <v>0</v>
      </c>
      <c r="P2">
        <v>0</v>
      </c>
      <c r="Q2">
        <v>0</v>
      </c>
      <c r="R2">
        <v>0</v>
      </c>
    </row>
    <row r="3" spans="1:18" x14ac:dyDescent="0.2">
      <c r="A3" t="s">
        <v>239</v>
      </c>
      <c r="B3" t="s">
        <v>185</v>
      </c>
      <c r="C3">
        <v>2</v>
      </c>
      <c r="D3">
        <v>19500</v>
      </c>
      <c r="E3">
        <v>0.73</v>
      </c>
      <c r="F3">
        <v>0</v>
      </c>
      <c r="G3">
        <v>0</v>
      </c>
      <c r="H3">
        <v>0.2</v>
      </c>
      <c r="I3">
        <v>0</v>
      </c>
      <c r="J3">
        <v>0</v>
      </c>
      <c r="K3">
        <v>0</v>
      </c>
      <c r="L3">
        <v>0</v>
      </c>
      <c r="M3">
        <v>0</v>
      </c>
      <c r="N3">
        <v>0</v>
      </c>
      <c r="O3">
        <v>0</v>
      </c>
      <c r="P3">
        <v>0</v>
      </c>
      <c r="Q3">
        <v>0</v>
      </c>
      <c r="R3">
        <v>0</v>
      </c>
    </row>
    <row r="4" spans="1:18" x14ac:dyDescent="0.2">
      <c r="A4" t="s">
        <v>240</v>
      </c>
      <c r="B4" t="s">
        <v>185</v>
      </c>
      <c r="C4">
        <v>2</v>
      </c>
      <c r="D4">
        <v>19500</v>
      </c>
      <c r="E4">
        <v>0.73</v>
      </c>
      <c r="F4">
        <v>0</v>
      </c>
      <c r="G4">
        <v>0</v>
      </c>
      <c r="H4">
        <v>0.2</v>
      </c>
      <c r="I4">
        <v>0</v>
      </c>
      <c r="J4">
        <v>0</v>
      </c>
      <c r="K4">
        <v>0</v>
      </c>
      <c r="L4">
        <v>0</v>
      </c>
      <c r="M4">
        <v>0</v>
      </c>
      <c r="N4">
        <v>0</v>
      </c>
      <c r="O4">
        <v>0</v>
      </c>
      <c r="P4">
        <v>0</v>
      </c>
      <c r="Q4">
        <v>0</v>
      </c>
      <c r="R4">
        <v>0</v>
      </c>
    </row>
    <row r="5" spans="1:18" x14ac:dyDescent="0.2">
      <c r="A5" t="s">
        <v>241</v>
      </c>
      <c r="B5" t="s">
        <v>185</v>
      </c>
      <c r="C5">
        <v>2</v>
      </c>
      <c r="D5">
        <v>19500</v>
      </c>
      <c r="E5">
        <v>0.73</v>
      </c>
      <c r="F5">
        <v>0</v>
      </c>
      <c r="G5">
        <v>0</v>
      </c>
      <c r="H5">
        <v>0.2</v>
      </c>
      <c r="I5">
        <v>0</v>
      </c>
      <c r="J5">
        <v>0</v>
      </c>
      <c r="K5">
        <v>0</v>
      </c>
      <c r="L5">
        <v>0</v>
      </c>
      <c r="M5">
        <v>0</v>
      </c>
      <c r="N5">
        <v>0</v>
      </c>
      <c r="O5">
        <v>0</v>
      </c>
      <c r="P5">
        <v>0</v>
      </c>
      <c r="Q5">
        <v>0</v>
      </c>
      <c r="R5">
        <v>0</v>
      </c>
    </row>
    <row r="6" spans="1:18" x14ac:dyDescent="0.2">
      <c r="A6" t="s">
        <v>242</v>
      </c>
      <c r="B6" t="s">
        <v>185</v>
      </c>
      <c r="C6">
        <v>2</v>
      </c>
      <c r="D6">
        <v>19500</v>
      </c>
      <c r="E6">
        <v>0.73</v>
      </c>
      <c r="F6">
        <v>0</v>
      </c>
      <c r="G6">
        <v>0</v>
      </c>
      <c r="H6">
        <v>0.2</v>
      </c>
      <c r="I6">
        <v>0</v>
      </c>
      <c r="J6">
        <v>0</v>
      </c>
      <c r="K6">
        <v>0</v>
      </c>
      <c r="L6">
        <v>0</v>
      </c>
      <c r="M6">
        <v>0</v>
      </c>
      <c r="N6">
        <v>0</v>
      </c>
      <c r="O6">
        <v>0</v>
      </c>
      <c r="P6">
        <v>0</v>
      </c>
      <c r="Q6">
        <v>0</v>
      </c>
      <c r="R6">
        <v>0</v>
      </c>
    </row>
    <row r="7" spans="1:18" x14ac:dyDescent="0.2">
      <c r="A7" t="s">
        <v>243</v>
      </c>
      <c r="B7" t="s">
        <v>185</v>
      </c>
      <c r="C7">
        <v>2</v>
      </c>
      <c r="D7">
        <v>19500</v>
      </c>
      <c r="E7">
        <v>0.73</v>
      </c>
      <c r="F7">
        <v>0</v>
      </c>
      <c r="G7">
        <v>0</v>
      </c>
      <c r="H7">
        <v>0.2</v>
      </c>
      <c r="I7">
        <v>0</v>
      </c>
      <c r="J7">
        <v>0</v>
      </c>
      <c r="K7">
        <v>0</v>
      </c>
      <c r="L7">
        <v>0</v>
      </c>
      <c r="M7">
        <v>0</v>
      </c>
      <c r="N7">
        <v>0</v>
      </c>
      <c r="O7">
        <v>0</v>
      </c>
      <c r="P7">
        <v>0</v>
      </c>
      <c r="Q7">
        <v>0</v>
      </c>
      <c r="R7">
        <v>0</v>
      </c>
    </row>
    <row r="8" spans="1:18" x14ac:dyDescent="0.2">
      <c r="A8" t="s">
        <v>244</v>
      </c>
      <c r="B8" t="s">
        <v>185</v>
      </c>
      <c r="C8">
        <v>2</v>
      </c>
      <c r="D8">
        <v>19500</v>
      </c>
      <c r="E8">
        <v>0.73</v>
      </c>
      <c r="F8">
        <v>0</v>
      </c>
      <c r="G8">
        <v>0</v>
      </c>
      <c r="H8">
        <v>0.2</v>
      </c>
      <c r="I8">
        <v>0</v>
      </c>
      <c r="J8">
        <v>0</v>
      </c>
      <c r="K8">
        <v>0</v>
      </c>
      <c r="L8">
        <v>0</v>
      </c>
      <c r="M8">
        <v>0</v>
      </c>
      <c r="N8">
        <v>0</v>
      </c>
      <c r="O8">
        <v>0</v>
      </c>
      <c r="P8">
        <v>0</v>
      </c>
      <c r="Q8">
        <v>0</v>
      </c>
      <c r="R8">
        <v>0</v>
      </c>
    </row>
    <row r="9" spans="1:18" x14ac:dyDescent="0.2">
      <c r="A9" t="s">
        <v>245</v>
      </c>
      <c r="B9" t="s">
        <v>185</v>
      </c>
      <c r="C9">
        <v>2</v>
      </c>
      <c r="D9">
        <v>19500</v>
      </c>
      <c r="E9">
        <v>0.73</v>
      </c>
      <c r="F9">
        <v>0</v>
      </c>
      <c r="G9">
        <v>0</v>
      </c>
      <c r="H9">
        <v>0.2</v>
      </c>
      <c r="I9">
        <v>0</v>
      </c>
      <c r="J9">
        <v>0</v>
      </c>
      <c r="K9">
        <v>0</v>
      </c>
      <c r="L9">
        <v>0</v>
      </c>
      <c r="M9">
        <v>0</v>
      </c>
      <c r="N9">
        <v>0</v>
      </c>
      <c r="O9">
        <v>0</v>
      </c>
      <c r="P9">
        <v>0</v>
      </c>
      <c r="Q9">
        <v>0</v>
      </c>
      <c r="R9">
        <v>0</v>
      </c>
    </row>
    <row r="10" spans="1:18" x14ac:dyDescent="0.2">
      <c r="A10" t="s">
        <v>246</v>
      </c>
      <c r="B10" t="s">
        <v>185</v>
      </c>
      <c r="C10">
        <v>2</v>
      </c>
      <c r="D10">
        <v>19500</v>
      </c>
      <c r="E10">
        <v>0.73</v>
      </c>
      <c r="F10">
        <v>0</v>
      </c>
      <c r="G10">
        <v>0</v>
      </c>
      <c r="H10">
        <v>0.2</v>
      </c>
      <c r="I10">
        <v>0</v>
      </c>
      <c r="J10">
        <v>0</v>
      </c>
      <c r="K10">
        <v>0</v>
      </c>
      <c r="L10">
        <v>0</v>
      </c>
      <c r="M10">
        <v>0</v>
      </c>
      <c r="N10">
        <v>0</v>
      </c>
      <c r="O10">
        <v>0</v>
      </c>
      <c r="P10">
        <v>0</v>
      </c>
      <c r="Q10">
        <v>0</v>
      </c>
      <c r="R10">
        <v>0</v>
      </c>
    </row>
    <row r="11" spans="1:18" x14ac:dyDescent="0.2">
      <c r="A11" t="s">
        <v>247</v>
      </c>
      <c r="B11" t="s">
        <v>185</v>
      </c>
      <c r="C11">
        <v>2</v>
      </c>
      <c r="D11">
        <v>19500</v>
      </c>
      <c r="E11">
        <v>0.73</v>
      </c>
      <c r="F11">
        <v>0</v>
      </c>
      <c r="G11">
        <v>0</v>
      </c>
      <c r="H11">
        <v>0.2</v>
      </c>
      <c r="I11">
        <v>0</v>
      </c>
      <c r="J11">
        <v>0</v>
      </c>
      <c r="K11">
        <v>0</v>
      </c>
      <c r="L11">
        <v>0</v>
      </c>
      <c r="M11">
        <v>0</v>
      </c>
      <c r="N11">
        <v>0</v>
      </c>
      <c r="O11">
        <v>0</v>
      </c>
      <c r="P11">
        <v>0</v>
      </c>
      <c r="Q11">
        <v>0</v>
      </c>
      <c r="R11">
        <v>0</v>
      </c>
    </row>
    <row r="16" spans="1:18" s="20" customFormat="1" x14ac:dyDescent="0.2"/>
  </sheetData>
  <phoneticPr fontId="1"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234</v>
      </c>
      <c r="B6" t="s">
        <v>220</v>
      </c>
    </row>
    <row r="7" spans="1:2" x14ac:dyDescent="0.2">
      <c r="A7" t="s">
        <v>219</v>
      </c>
      <c r="B7" t="s">
        <v>221</v>
      </c>
    </row>
    <row r="8" spans="1:2" x14ac:dyDescent="0.2">
      <c r="B8" s="27" t="s">
        <v>222</v>
      </c>
    </row>
    <row r="9" spans="1:2" x14ac:dyDescent="0.2">
      <c r="B9" t="s">
        <v>223</v>
      </c>
    </row>
    <row r="10" spans="1:2" x14ac:dyDescent="0.2">
      <c r="B10" s="27" t="s">
        <v>224</v>
      </c>
    </row>
    <row r="11" spans="1:2" x14ac:dyDescent="0.2">
      <c r="B11" t="s">
        <v>233</v>
      </c>
    </row>
    <row r="12" spans="1:2" x14ac:dyDescent="0.2">
      <c r="B12" s="27" t="s">
        <v>232</v>
      </c>
    </row>
    <row r="13" spans="1:2" x14ac:dyDescent="0.2">
      <c r="B13" t="s">
        <v>225</v>
      </c>
    </row>
    <row r="14" spans="1:2" x14ac:dyDescent="0.2">
      <c r="B14" t="s">
        <v>226</v>
      </c>
    </row>
    <row r="15" spans="1:2" x14ac:dyDescent="0.2">
      <c r="B15" t="s">
        <v>227</v>
      </c>
    </row>
    <row r="16" spans="1:2" x14ac:dyDescent="0.2">
      <c r="B16" t="s">
        <v>231</v>
      </c>
    </row>
    <row r="17" spans="2:2" x14ac:dyDescent="0.2">
      <c r="B17" t="s">
        <v>228</v>
      </c>
    </row>
    <row r="18" spans="2:2" x14ac:dyDescent="0.2">
      <c r="B18" t="s">
        <v>230</v>
      </c>
    </row>
    <row r="19" spans="2:2" x14ac:dyDescent="0.2">
      <c r="B19" t="s">
        <v>229</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topLeftCell="A14"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William Lampe</cp:lastModifiedBy>
  <dcterms:created xsi:type="dcterms:W3CDTF">2023-12-05T19:03:00Z</dcterms:created>
  <dcterms:modified xsi:type="dcterms:W3CDTF">2026-09-23T21:04:29Z</dcterms:modified>
</cp:coreProperties>
</file>